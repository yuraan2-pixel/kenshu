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GIT\kenshu\"/>
    </mc:Choice>
  </mc:AlternateContent>
  <xr:revisionPtr revIDLastSave="0" documentId="13_ncr:1_{FE0EADB7-45D4-4599-8AA2-27D9F0D14C0B}" xr6:coauthVersionLast="47" xr6:coauthVersionMax="47" xr10:uidLastSave="{00000000-0000-0000-0000-000000000000}"/>
  <bookViews>
    <workbookView xWindow="-108" yWindow="-108" windowWidth="23256" windowHeight="12456" activeTab="1" xr2:uid="{00000000-000D-0000-FFFF-FFFF00000000}"/>
  </bookViews>
  <sheets>
    <sheet name="メモ" sheetId="1" r:id="rId1"/>
    <sheet name="問題" sheetId="2" r:id="rId2"/>
    <sheet name="Sheet1" sheetId="4" r:id="rId3"/>
    <sheet name="フォルダ構成" sheetId="3" r:id="rId4"/>
  </sheets>
  <definedNames>
    <definedName name="_xlnm.Print_Area" localSheetId="1">問題!$A$1:$H$34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6" i="2" l="1"/>
  <c r="B17" i="2" s="1"/>
  <c r="B18" i="2" s="1"/>
  <c r="B19" i="2" s="1"/>
  <c r="B20" i="2" s="1"/>
  <c r="B21" i="2" s="1"/>
  <c r="B22" i="2" s="1"/>
  <c r="B23" i="2" s="1"/>
  <c r="B24" i="2" s="1"/>
  <c r="B25" i="2" s="1"/>
  <c r="B26" i="2" s="1"/>
  <c r="B27" i="2" s="1"/>
  <c r="B28" i="2" s="1"/>
  <c r="B29" i="2" s="1"/>
  <c r="B30" i="2" s="1"/>
  <c r="B31" i="2" s="1"/>
  <c r="H35" i="2"/>
  <c r="J29" i="2"/>
  <c r="H12" i="2"/>
  <c r="J25" i="2" s="1"/>
  <c r="H3" i="2" l="1"/>
</calcChain>
</file>

<file path=xl/sharedStrings.xml><?xml version="1.0" encoding="utf-8"?>
<sst xmlns="http://schemas.openxmlformats.org/spreadsheetml/2006/main" count="333" uniqueCount="229">
  <si>
    <t>Java</t>
    <phoneticPr fontId="1"/>
  </si>
  <si>
    <t>DB</t>
    <phoneticPr fontId="1"/>
  </si>
  <si>
    <t>簡単な構文を理解している。</t>
    <rPh sb="0" eb="2">
      <t>カンタン</t>
    </rPh>
    <rPh sb="3" eb="5">
      <t>コウブン</t>
    </rPh>
    <rPh sb="6" eb="8">
      <t>リカイ</t>
    </rPh>
    <phoneticPr fontId="1"/>
  </si>
  <si>
    <t>オブジェクト指向の考え方を理解している。</t>
    <rPh sb="6" eb="8">
      <t>シコウ</t>
    </rPh>
    <rPh sb="9" eb="10">
      <t>カンガ</t>
    </rPh>
    <rPh sb="11" eb="12">
      <t>カタ</t>
    </rPh>
    <rPh sb="13" eb="15">
      <t>リカイ</t>
    </rPh>
    <phoneticPr fontId="1"/>
  </si>
  <si>
    <t>JavaのAPIを活用できる</t>
    <rPh sb="9" eb="11">
      <t>カツヨウ</t>
    </rPh>
    <phoneticPr fontId="1"/>
  </si>
  <si>
    <t>Web</t>
    <phoneticPr fontId="1"/>
  </si>
  <si>
    <t>Webシステムの仕組みを理解している。</t>
    <rPh sb="8" eb="10">
      <t>シク</t>
    </rPh>
    <rPh sb="12" eb="14">
      <t>リカイ</t>
    </rPh>
    <phoneticPr fontId="1"/>
  </si>
  <si>
    <t>pleiades（eclipseの日本語化されたもの）のインストール</t>
    <rPh sb="17" eb="20">
      <t>ニホンゴ</t>
    </rPh>
    <rPh sb="20" eb="21">
      <t>カ</t>
    </rPh>
    <phoneticPr fontId="1"/>
  </si>
  <si>
    <t>Javaのプロジェクトの新規作成</t>
    <rPh sb="12" eb="14">
      <t>シンキ</t>
    </rPh>
    <rPh sb="14" eb="16">
      <t>サクセイ</t>
    </rPh>
    <phoneticPr fontId="1"/>
  </si>
  <si>
    <t>パッケージの新規作成</t>
    <rPh sb="6" eb="8">
      <t>シンキ</t>
    </rPh>
    <rPh sb="8" eb="10">
      <t>サクセイ</t>
    </rPh>
    <phoneticPr fontId="1"/>
  </si>
  <si>
    <t>No</t>
    <phoneticPr fontId="1"/>
  </si>
  <si>
    <t>備考</t>
    <rPh sb="0" eb="2">
      <t>ビコウ</t>
    </rPh>
    <phoneticPr fontId="1"/>
  </si>
  <si>
    <t>\\Isserv-dc4\研修用\ソフトウェア 「pleiades.exe」</t>
    <phoneticPr fontId="1"/>
  </si>
  <si>
    <t>詳細</t>
    <rPh sb="0" eb="2">
      <t>ショウサイ</t>
    </rPh>
    <phoneticPr fontId="1"/>
  </si>
  <si>
    <t>実施項目</t>
    <rPh sb="0" eb="2">
      <t>ジッシ</t>
    </rPh>
    <rPh sb="2" eb="4">
      <t>コウモク</t>
    </rPh>
    <phoneticPr fontId="1"/>
  </si>
  <si>
    <t xml:space="preserve">pleiades（eclipseの日本語化されたもの）のインストール
</t>
    <rPh sb="17" eb="20">
      <t>ニホンゴ</t>
    </rPh>
    <rPh sb="20" eb="21">
      <t>カ</t>
    </rPh>
    <phoneticPr fontId="1"/>
  </si>
  <si>
    <t>参考</t>
    <rPh sb="0" eb="2">
      <t>サンコウ</t>
    </rPh>
    <phoneticPr fontId="1"/>
  </si>
  <si>
    <t>https://star-school.jp/java/110</t>
    <phoneticPr fontId="1"/>
  </si>
  <si>
    <t>1．パッケージ「main」を作成してください。
※mainメソッドをもつクラスを配置
2．パッケージ「function」を作成してください。
※mainメソッドを持たないクラスを配置
3．パッケージ「bean」を作成してください。
※beanクラスを配置</t>
    <rPh sb="14" eb="16">
      <t>サクセイ</t>
    </rPh>
    <rPh sb="40" eb="42">
      <t>ハイチ</t>
    </rPh>
    <rPh sb="81" eb="82">
      <t>モ</t>
    </rPh>
    <rPh sb="89" eb="91">
      <t>ハイチ</t>
    </rPh>
    <rPh sb="125" eb="127">
      <t>ハイチ</t>
    </rPh>
    <phoneticPr fontId="1"/>
  </si>
  <si>
    <t>【初心者向け】10分で絶対にわかる！JavaBeansとは #新人プログラマ応援 - Qiita</t>
  </si>
  <si>
    <t>Javaプロジェクトを１から作る（FWなし） #初心者向け - Qiita</t>
  </si>
  <si>
    <t>Javaファイルの新規作成</t>
    <rPh sb="9" eb="11">
      <t>シンキ</t>
    </rPh>
    <rPh sb="11" eb="13">
      <t>サクセイ</t>
    </rPh>
    <phoneticPr fontId="1"/>
  </si>
  <si>
    <t>純粋なJavaプロジェクトを作成</t>
    <rPh sb="0" eb="2">
      <t>ジュンスイ</t>
    </rPh>
    <rPh sb="14" eb="16">
      <t>サクセイ</t>
    </rPh>
    <phoneticPr fontId="1"/>
  </si>
  <si>
    <t>以下の手順で必要な環境を作成してから問題を実施してください。</t>
    <rPh sb="0" eb="2">
      <t>イカ</t>
    </rPh>
    <rPh sb="3" eb="5">
      <t>テジュン</t>
    </rPh>
    <rPh sb="6" eb="8">
      <t>ヒツヨウ</t>
    </rPh>
    <rPh sb="9" eb="11">
      <t>カンキョウ</t>
    </rPh>
    <rPh sb="12" eb="14">
      <t>サクセイ</t>
    </rPh>
    <rPh sb="18" eb="20">
      <t>モンダイ</t>
    </rPh>
    <rPh sb="21" eb="23">
      <t>ジッシ</t>
    </rPh>
    <phoneticPr fontId="1"/>
  </si>
  <si>
    <t xml:space="preserve">以降の問題ごとに作成しながら進めていってください。
</t>
    <rPh sb="0" eb="2">
      <t>イコウ</t>
    </rPh>
    <rPh sb="3" eb="5">
      <t>モンダイ</t>
    </rPh>
    <rPh sb="8" eb="10">
      <t>サクセイ</t>
    </rPh>
    <rPh sb="14" eb="15">
      <t>スス</t>
    </rPh>
    <phoneticPr fontId="1"/>
  </si>
  <si>
    <t>概略</t>
    <rPh sb="0" eb="2">
      <t>ガイリャク</t>
    </rPh>
    <phoneticPr fontId="1"/>
  </si>
  <si>
    <t>問題</t>
    <rPh sb="0" eb="2">
      <t>モンダイ</t>
    </rPh>
    <phoneticPr fontId="1"/>
  </si>
  <si>
    <t>コンソールに「Hello World」を出力してください。</t>
    <rPh sb="20" eb="22">
      <t>シュツリョク</t>
    </rPh>
    <phoneticPr fontId="1"/>
  </si>
  <si>
    <t>https://www.javadrive.jp/start/scanner/index2.html
以下も参考に
https://qiita.com/hot-mock/items/57bf49a32cc9c4bd9f42</t>
    <rPh sb="51" eb="53">
      <t>イカ</t>
    </rPh>
    <rPh sb="54" eb="56">
      <t>サンコウ</t>
    </rPh>
    <phoneticPr fontId="1"/>
  </si>
  <si>
    <t>https://qiita.com/YujiSoftware/items/5975c0a93f5e58f6b9cf</t>
    <phoneticPr fontId="1"/>
  </si>
  <si>
    <t>Java（jdk1.8以降）のファイル入出力のサンプルプログラム #nio - Qiita</t>
  </si>
  <si>
    <t>処理を記載するときは常にメソッド化や部品化を考えながら、あと、コメントもきっちり記載しましょう。</t>
    <rPh sb="0" eb="2">
      <t>ショリ</t>
    </rPh>
    <rPh sb="3" eb="5">
      <t>キサイ</t>
    </rPh>
    <rPh sb="10" eb="11">
      <t>ツネ</t>
    </rPh>
    <rPh sb="16" eb="17">
      <t>カ</t>
    </rPh>
    <rPh sb="18" eb="21">
      <t>ブヒンカ</t>
    </rPh>
    <rPh sb="22" eb="23">
      <t>カンガ</t>
    </rPh>
    <rPh sb="40" eb="42">
      <t>キサイ</t>
    </rPh>
    <phoneticPr fontId="1"/>
  </si>
  <si>
    <t>端末にインストールされているデータベースに接続する。データベースを接続する際に必要となるライブラリ（オラクルが提供している）や、接続文字列（接続するために必要な情報）は欄外参照。
接続できたらコンソールに「成功」した旨を表示する。
接続できなかった場合、エラー内容をコンソールに表示する。</t>
    <rPh sb="0" eb="2">
      <t>タンマツ</t>
    </rPh>
    <rPh sb="21" eb="23">
      <t>セツゾク</t>
    </rPh>
    <rPh sb="33" eb="35">
      <t>セツゾク</t>
    </rPh>
    <rPh sb="37" eb="38">
      <t>サイ</t>
    </rPh>
    <rPh sb="39" eb="41">
      <t>ヒツヨウ</t>
    </rPh>
    <rPh sb="55" eb="57">
      <t>テイキョウ</t>
    </rPh>
    <rPh sb="64" eb="66">
      <t>セツゾク</t>
    </rPh>
    <rPh sb="66" eb="69">
      <t>モジレツ</t>
    </rPh>
    <rPh sb="70" eb="72">
      <t>セツゾク</t>
    </rPh>
    <rPh sb="77" eb="79">
      <t>ヒツヨウ</t>
    </rPh>
    <rPh sb="80" eb="82">
      <t>ジョウホウ</t>
    </rPh>
    <rPh sb="84" eb="86">
      <t>ランガイ</t>
    </rPh>
    <rPh sb="86" eb="88">
      <t>サンショウ</t>
    </rPh>
    <rPh sb="90" eb="92">
      <t>セツゾク</t>
    </rPh>
    <rPh sb="103" eb="105">
      <t>セイコウ</t>
    </rPh>
    <rPh sb="108" eb="109">
      <t>ムネ</t>
    </rPh>
    <rPh sb="110" eb="112">
      <t>ヒョウジ</t>
    </rPh>
    <rPh sb="116" eb="118">
      <t>セツゾク</t>
    </rPh>
    <rPh sb="124" eb="126">
      <t>バアイ</t>
    </rPh>
    <rPh sb="130" eb="132">
      <t>ナイヨウ</t>
    </rPh>
    <rPh sb="139" eb="141">
      <t>ヒョウジ</t>
    </rPh>
    <phoneticPr fontId="1"/>
  </si>
  <si>
    <t>DB接続：https://qiita.com/rikako_hira/items/5b8a19f2b77e4d867635
例外処理：
https://qiita.com/Nogu_t/items/d1bc783361c4f3c73af9</t>
    <rPh sb="2" eb="4">
      <t>セツゾク</t>
    </rPh>
    <rPh sb="62" eb="64">
      <t>レイガイ</t>
    </rPh>
    <rPh sb="64" eb="66">
      <t>ショリ</t>
    </rPh>
    <phoneticPr fontId="1"/>
  </si>
  <si>
    <t>想定時間（分）</t>
    <rPh sb="0" eb="2">
      <t>ソウテイ</t>
    </rPh>
    <rPh sb="2" eb="4">
      <t>ジカン</t>
    </rPh>
    <rPh sb="5" eb="6">
      <t>フン</t>
    </rPh>
    <phoneticPr fontId="1"/>
  </si>
  <si>
    <t>合計時間（分）</t>
    <rPh sb="0" eb="2">
      <t>ゴウケイ</t>
    </rPh>
    <rPh sb="2" eb="4">
      <t>ジカン</t>
    </rPh>
    <phoneticPr fontId="1"/>
  </si>
  <si>
    <t>【Java初心者備忘録】printとprintlnの違いって？コンソール出力の基本 #初心者 - Qiita</t>
  </si>
  <si>
    <t>データベースへの接続２
・ファイル入力、API,、メソッド、クラス、例外処理 etc</t>
    <rPh sb="8" eb="10">
      <t>セツゾク</t>
    </rPh>
    <rPh sb="34" eb="36">
      <t>レイガイ</t>
    </rPh>
    <rPh sb="36" eb="38">
      <t>ショリ</t>
    </rPh>
    <phoneticPr fontId="1"/>
  </si>
  <si>
    <t>事前にテーブル作っておく。データも数件入れておく。</t>
    <rPh sb="0" eb="2">
      <t>ジゼン</t>
    </rPh>
    <rPh sb="7" eb="8">
      <t>ツク</t>
    </rPh>
    <rPh sb="17" eb="19">
      <t>スウケン</t>
    </rPh>
    <rPh sb="19" eb="20">
      <t>イ</t>
    </rPh>
    <phoneticPr fontId="1"/>
  </si>
  <si>
    <t>データベースのテーブル「PRODUCT」の内容を読み込み、コンソールに１商品、１行で表示する。
データベースの接続は前の問題と同じ手法で行う。
（出力例）
コード＝001、商品名＝ りんご、単価＝150
コード＝002、商品名＝桃、単価＝250
・・・</t>
    <rPh sb="21" eb="23">
      <t>ナイヨウ</t>
    </rPh>
    <rPh sb="24" eb="25">
      <t>ヨ</t>
    </rPh>
    <rPh sb="26" eb="27">
      <t>コ</t>
    </rPh>
    <rPh sb="36" eb="38">
      <t>ショウヒン</t>
    </rPh>
    <rPh sb="40" eb="41">
      <t>ギョウ</t>
    </rPh>
    <rPh sb="42" eb="44">
      <t>ヒョウジ</t>
    </rPh>
    <rPh sb="55" eb="57">
      <t>セツゾク</t>
    </rPh>
    <rPh sb="58" eb="59">
      <t>マエ</t>
    </rPh>
    <rPh sb="60" eb="62">
      <t>モンダイ</t>
    </rPh>
    <rPh sb="63" eb="64">
      <t>オナ</t>
    </rPh>
    <rPh sb="65" eb="67">
      <t>シュホウ</t>
    </rPh>
    <rPh sb="68" eb="69">
      <t>オコナ</t>
    </rPh>
    <rPh sb="86" eb="89">
      <t>ショウヒンメイ</t>
    </rPh>
    <rPh sb="95" eb="97">
      <t>タンカ</t>
    </rPh>
    <rPh sb="114" eb="115">
      <t>モモ</t>
    </rPh>
    <phoneticPr fontId="1"/>
  </si>
  <si>
    <t>データベースの操作１
・SQL：SELECT文、Java:API,、メソッド、クラス、例外処理、文字列操作 etc</t>
    <rPh sb="7" eb="9">
      <t>ソウサ</t>
    </rPh>
    <rPh sb="22" eb="23">
      <t>ブン</t>
    </rPh>
    <rPh sb="48" eb="51">
      <t>モジレツ</t>
    </rPh>
    <rPh sb="51" eb="53">
      <t>ソウサ</t>
    </rPh>
    <phoneticPr fontId="1"/>
  </si>
  <si>
    <t>データベースの操作２
・SQL：INSERT文、Java:API,、メソッド、クラス、例外処理 etc</t>
    <rPh sb="7" eb="9">
      <t>ソウサ</t>
    </rPh>
    <rPh sb="22" eb="23">
      <t>ブン</t>
    </rPh>
    <phoneticPr fontId="1"/>
  </si>
  <si>
    <t>データベースINSERT：https://qiita.com/takahirocook/items/bd0ec8d3cbd5060a095a</t>
    <phoneticPr fontId="1"/>
  </si>
  <si>
    <t>内容</t>
    <rPh sb="0" eb="2">
      <t>ナイヨウ</t>
    </rPh>
    <phoneticPr fontId="1"/>
  </si>
  <si>
    <t>環境</t>
    <rPh sb="0" eb="2">
      <t>カンキョウ</t>
    </rPh>
    <phoneticPr fontId="1"/>
  </si>
  <si>
    <t>Java</t>
    <phoneticPr fontId="1"/>
  </si>
  <si>
    <t>Java
ＳＱＬ</t>
    <phoneticPr fontId="1"/>
  </si>
  <si>
    <t>データベースの操作３
・SQL：UPDATE文、Java:API,、メソッド、クラス、例外処理 etc</t>
    <rPh sb="7" eb="9">
      <t>ソウサ</t>
    </rPh>
    <rPh sb="22" eb="23">
      <t>ブン</t>
    </rPh>
    <phoneticPr fontId="1"/>
  </si>
  <si>
    <t>データベースUPDATE：https://qiita.com/takahirocook/items/bd0ec8d3cbd5060a095a</t>
    <phoneticPr fontId="1"/>
  </si>
  <si>
    <t>データベースDELETE：https://qiita.com/takahirocook/items/bd0ec8d3cbd5060a095a</t>
    <phoneticPr fontId="1"/>
  </si>
  <si>
    <t>データベースの操作４
・SQL：DELETE文、Java:API,、メソッド、クラス、例外処理 etc</t>
    <rPh sb="7" eb="9">
      <t>ソウサ</t>
    </rPh>
    <rPh sb="22" eb="23">
      <t>ブン</t>
    </rPh>
    <phoneticPr fontId="1"/>
  </si>
  <si>
    <t>コンソールに名前を問う文を出力し、名前を入力すると「こんにちは。〇〇さん」と出力してください。
入力は「Scanner」クラスを使用します。あまり使用しないのでわからなければ参考ランのページを参照してください。</t>
    <rPh sb="6" eb="8">
      <t>ナマエ</t>
    </rPh>
    <rPh sb="9" eb="10">
      <t>ト</t>
    </rPh>
    <rPh sb="11" eb="12">
      <t>ブン</t>
    </rPh>
    <rPh sb="13" eb="15">
      <t>シュツリョク</t>
    </rPh>
    <rPh sb="17" eb="19">
      <t>ナマエ</t>
    </rPh>
    <rPh sb="20" eb="22">
      <t>ニュウリョク</t>
    </rPh>
    <rPh sb="38" eb="40">
      <t>シュツリョク</t>
    </rPh>
    <rPh sb="48" eb="50">
      <t>ニュウリョク</t>
    </rPh>
    <rPh sb="64" eb="66">
      <t>シヨウ</t>
    </rPh>
    <rPh sb="73" eb="75">
      <t>シヨウ</t>
    </rPh>
    <rPh sb="87" eb="89">
      <t>サンコウ</t>
    </rPh>
    <rPh sb="96" eb="98">
      <t>サンショウ</t>
    </rPh>
    <phoneticPr fontId="1"/>
  </si>
  <si>
    <t>コンソールへの出力
・コンソール出力</t>
    <rPh sb="7" eb="9">
      <t>シュツリョク</t>
    </rPh>
    <rPh sb="16" eb="18">
      <t>シュツリョク</t>
    </rPh>
    <phoneticPr fontId="1"/>
  </si>
  <si>
    <t>コンソールへの入出力１
・コンソール入出力</t>
    <rPh sb="7" eb="10">
      <t>ニュウシュツリョク</t>
    </rPh>
    <rPh sb="18" eb="21">
      <t>ニュウシュツリョク</t>
    </rPh>
    <phoneticPr fontId="1"/>
  </si>
  <si>
    <t xml:space="preserve">コンソールに数字を入力してもらいます。
「整数を入力してください（-100超、100未満）：」などを表示した後に入力を促します。
数字以外を入れた場合、範囲外の数字をを入れた場合は再度入力を促します。
入力がOKの場合は入力した数値を表示し終了します。（何らかのメッセージを表示します）
（例）　
整数を入力してください（-100超、100未満）：100000
入れ直してください。
整数を入力してください（-100超、100未満）：あいう
入れ直してください。
整数を入力してください（-100超、100未満）：99
入力した数字は「99」です。
</t>
    <rPh sb="42" eb="44">
      <t>ミマン</t>
    </rPh>
    <rPh sb="59" eb="60">
      <t>ウナガ</t>
    </rPh>
    <rPh sb="65" eb="67">
      <t>スウジ</t>
    </rPh>
    <rPh sb="67" eb="69">
      <t>イガイ</t>
    </rPh>
    <rPh sb="70" eb="71">
      <t>イ</t>
    </rPh>
    <rPh sb="73" eb="75">
      <t>バアイ</t>
    </rPh>
    <rPh sb="84" eb="85">
      <t>イ</t>
    </rPh>
    <rPh sb="87" eb="89">
      <t>バアイ</t>
    </rPh>
    <rPh sb="90" eb="92">
      <t>サイド</t>
    </rPh>
    <rPh sb="92" eb="94">
      <t>ニュウリョク</t>
    </rPh>
    <rPh sb="95" eb="96">
      <t>ウナガ</t>
    </rPh>
    <rPh sb="101" eb="103">
      <t>ニュウリョク</t>
    </rPh>
    <rPh sb="107" eb="109">
      <t>バアイ</t>
    </rPh>
    <rPh sb="110" eb="112">
      <t>ニュウリョク</t>
    </rPh>
    <rPh sb="114" eb="116">
      <t>スウチ</t>
    </rPh>
    <rPh sb="117" eb="119">
      <t>ヒョウジ</t>
    </rPh>
    <rPh sb="120" eb="122">
      <t>シュウリョウ</t>
    </rPh>
    <rPh sb="127" eb="128">
      <t>ナン</t>
    </rPh>
    <rPh sb="137" eb="139">
      <t>ヒョウジ</t>
    </rPh>
    <rPh sb="145" eb="146">
      <t>レイ</t>
    </rPh>
    <rPh sb="181" eb="182">
      <t>イ</t>
    </rPh>
    <rPh sb="183" eb="184">
      <t>ナオ</t>
    </rPh>
    <rPh sb="260" eb="262">
      <t>ニュウリョク</t>
    </rPh>
    <rPh sb="264" eb="266">
      <t>スウジ</t>
    </rPh>
    <phoneticPr fontId="1"/>
  </si>
  <si>
    <t>コンソールへの入出力２
・コンソール入出力、条件分岐、繰り返し、例外処理、API、パッケージ、メソッド　etc</t>
    <rPh sb="7" eb="10">
      <t>ニュウシュツリョク</t>
    </rPh>
    <rPh sb="18" eb="21">
      <t>ニュウシュツリョク</t>
    </rPh>
    <rPh sb="22" eb="24">
      <t>ジョウケン</t>
    </rPh>
    <rPh sb="24" eb="26">
      <t>ブンキ</t>
    </rPh>
    <rPh sb="27" eb="28">
      <t>ク</t>
    </rPh>
    <rPh sb="29" eb="30">
      <t>カエ</t>
    </rPh>
    <rPh sb="32" eb="34">
      <t>レイガイ</t>
    </rPh>
    <rPh sb="34" eb="36">
      <t>ショリ</t>
    </rPh>
    <phoneticPr fontId="1"/>
  </si>
  <si>
    <t>計算処理１
・コンソール入出力、条件分岐、繰り返し、例外処理、API、パッケージ、メソッド　etc</t>
    <rPh sb="0" eb="2">
      <t>ケイサン</t>
    </rPh>
    <rPh sb="2" eb="4">
      <t>ショリ</t>
    </rPh>
    <phoneticPr fontId="1"/>
  </si>
  <si>
    <t>計算処理２
・コンソール入出力、式と演算子、条件分岐、繰り返し、例外処理、API、メソッド　etc</t>
    <rPh sb="0" eb="2">
      <t>ケイサン</t>
    </rPh>
    <rPh sb="2" eb="4">
      <t>ショリ</t>
    </rPh>
    <rPh sb="12" eb="15">
      <t>ニュウシュツリョク</t>
    </rPh>
    <rPh sb="16" eb="17">
      <t>シキ</t>
    </rPh>
    <rPh sb="18" eb="21">
      <t>エンザンシ</t>
    </rPh>
    <rPh sb="22" eb="24">
      <t>ジョウケン</t>
    </rPh>
    <rPh sb="24" eb="26">
      <t>ブンキ</t>
    </rPh>
    <rPh sb="27" eb="28">
      <t>ク</t>
    </rPh>
    <rPh sb="29" eb="30">
      <t>カエ</t>
    </rPh>
    <rPh sb="32" eb="34">
      <t>レイガイ</t>
    </rPh>
    <rPh sb="34" eb="36">
      <t>ショリ</t>
    </rPh>
    <phoneticPr fontId="1"/>
  </si>
  <si>
    <t>二つの数字（整数）を入力して、加算した結果を出力してください。
数字の入力に関しては上記の問題と同様にします。
結果は式とともに表示します。数値は文字列に変換して表示しましょう。
（例）　
１つ目の整数を入力してください（-100超、100未満）：100000
入れ直してください。
１つ目の整数を入力してください（-100超、100未満）：あああ
入れ直してください。
１つ目の整数を入力してください（-100超、100未満）：50
２つ目の整数を入力してください（-100超、100未満）：30
50 + 30 = 80 です。</t>
    <rPh sb="0" eb="1">
      <t>フタ</t>
    </rPh>
    <rPh sb="3" eb="5">
      <t>スウジ</t>
    </rPh>
    <rPh sb="6" eb="8">
      <t>セイスウ</t>
    </rPh>
    <rPh sb="10" eb="12">
      <t>ニュウリョク</t>
    </rPh>
    <rPh sb="15" eb="17">
      <t>カサン</t>
    </rPh>
    <rPh sb="19" eb="21">
      <t>ケッカ</t>
    </rPh>
    <rPh sb="22" eb="24">
      <t>シュツリョク</t>
    </rPh>
    <rPh sb="56" eb="58">
      <t>ケッカ</t>
    </rPh>
    <rPh sb="59" eb="60">
      <t>シキ</t>
    </rPh>
    <rPh sb="64" eb="66">
      <t>ヒョウジ</t>
    </rPh>
    <rPh sb="70" eb="72">
      <t>スウチ</t>
    </rPh>
    <rPh sb="73" eb="76">
      <t>モジレツ</t>
    </rPh>
    <rPh sb="77" eb="79">
      <t>ヘンカン</t>
    </rPh>
    <rPh sb="81" eb="83">
      <t>ヒョウジ</t>
    </rPh>
    <rPh sb="91" eb="92">
      <t>レイ</t>
    </rPh>
    <rPh sb="97" eb="98">
      <t>メ</t>
    </rPh>
    <phoneticPr fontId="1"/>
  </si>
  <si>
    <t>二つの数字（整数）を入力して、加算、減算、乗算、除算、剰余をした結果を出力してください。
数字の入力に関しては上記の問題とほぼ同様ですが、二つ目の数値に0を入れた場合は再度入力を促します。結果は式とともに表示します。。除算結果が割り切れない場合は小数点3桁まで表示（以下切り捨て）
（例）　
１つ目の整数を入力してください（-100超、100未満）：1
２つ目の整数を入力してください（-100超、100未満）：3
加算：1 + 3 = 4
減算：1 - 3 = -2
乗算：1 * 3 = 3
除算：1 / 3 = 0.333
剰余：1 % 3 = 1</t>
    <rPh sb="0" eb="1">
      <t>フタ</t>
    </rPh>
    <rPh sb="3" eb="5">
      <t>スウジ</t>
    </rPh>
    <rPh sb="6" eb="8">
      <t>セイスウ</t>
    </rPh>
    <rPh sb="10" eb="12">
      <t>ニュウリョク</t>
    </rPh>
    <rPh sb="15" eb="17">
      <t>カサン</t>
    </rPh>
    <rPh sb="18" eb="20">
      <t>ゲンザン</t>
    </rPh>
    <rPh sb="21" eb="23">
      <t>ジョウザン</t>
    </rPh>
    <rPh sb="24" eb="26">
      <t>ジョザン</t>
    </rPh>
    <rPh sb="27" eb="29">
      <t>ジョウヨ</t>
    </rPh>
    <rPh sb="32" eb="34">
      <t>ケッカ</t>
    </rPh>
    <rPh sb="35" eb="37">
      <t>シュツリョク</t>
    </rPh>
    <rPh sb="70" eb="72">
      <t>バアイ</t>
    </rPh>
    <rPh sb="73" eb="75">
      <t>サイド</t>
    </rPh>
    <rPh sb="75" eb="77">
      <t>ニュウリョク</t>
    </rPh>
    <rPh sb="78" eb="79">
      <t>ウナガ</t>
    </rPh>
    <rPh sb="83" eb="85">
      <t>ニュウリョク</t>
    </rPh>
    <rPh sb="87" eb="89">
      <t>スウジ</t>
    </rPh>
    <rPh sb="90" eb="91">
      <t>シキ</t>
    </rPh>
    <rPh sb="92" eb="94">
      <t>ヒョウジ</t>
    </rPh>
    <rPh sb="94" eb="96">
      <t>ケッカ</t>
    </rPh>
    <rPh sb="97" eb="98">
      <t>シキ</t>
    </rPh>
    <rPh sb="102" eb="104">
      <t>ヒョウジ</t>
    </rPh>
    <rPh sb="109" eb="111">
      <t>バアイ</t>
    </rPh>
    <rPh sb="112" eb="115">
      <t>ショウスウテン</t>
    </rPh>
    <rPh sb="116" eb="117">
      <t>ケタ</t>
    </rPh>
    <rPh sb="119" eb="121">
      <t>ヒョウジ</t>
    </rPh>
    <rPh sb="122" eb="124">
      <t>イカ</t>
    </rPh>
    <rPh sb="124" eb="125">
      <t>キ</t>
    </rPh>
    <rPh sb="126" eb="127">
      <t>ス</t>
    </rPh>
    <rPh sb="131" eb="132">
      <t>レイ</t>
    </rPh>
    <rPh sb="138" eb="140">
      <t>ニュウリョク</t>
    </rPh>
    <rPh sb="141" eb="143">
      <t>カサン</t>
    </rPh>
    <rPh sb="210" eb="212">
      <t>ゲンザン</t>
    </rPh>
    <rPh sb="224" eb="226">
      <t>ジョウザン</t>
    </rPh>
    <rPh sb="237" eb="239">
      <t>ジョザン</t>
    </rPh>
    <rPh sb="254" eb="256">
      <t>ジョウヨ</t>
    </rPh>
    <phoneticPr fontId="1"/>
  </si>
  <si>
    <t>https://itsakura.com/java-floor</t>
    <phoneticPr fontId="1"/>
  </si>
  <si>
    <t>計算処理３
・式と演算子、条件分岐、繰り返し、例外処理、API、メソッド、クラス　etc</t>
    <rPh sb="0" eb="2">
      <t>ケイサン</t>
    </rPh>
    <rPh sb="2" eb="4">
      <t>ショリ</t>
    </rPh>
    <rPh sb="7" eb="8">
      <t>シキ</t>
    </rPh>
    <rPh sb="9" eb="12">
      <t>エンザンシ</t>
    </rPh>
    <rPh sb="13" eb="15">
      <t>ジョウケン</t>
    </rPh>
    <rPh sb="15" eb="17">
      <t>ブンキ</t>
    </rPh>
    <rPh sb="18" eb="19">
      <t>ク</t>
    </rPh>
    <rPh sb="20" eb="21">
      <t>カエ</t>
    </rPh>
    <rPh sb="23" eb="25">
      <t>レイガイ</t>
    </rPh>
    <rPh sb="25" eb="27">
      <t>ショリ</t>
    </rPh>
    <phoneticPr fontId="1"/>
  </si>
  <si>
    <t>https://qiita.com/sponge841841/items/e06b8708fa9c8aaefc19</t>
    <phoneticPr fontId="1"/>
  </si>
  <si>
    <t>数値入力は前の問題の部品が使えます。
数値の入力が２回あるので2回呼び出しましょう。</t>
    <rPh sb="19" eb="21">
      <t>スウチ</t>
    </rPh>
    <rPh sb="22" eb="24">
      <t>ニュウリョク</t>
    </rPh>
    <rPh sb="26" eb="27">
      <t>カイ</t>
    </rPh>
    <rPh sb="32" eb="33">
      <t>カイ</t>
    </rPh>
    <rPh sb="33" eb="34">
      <t>ヨ</t>
    </rPh>
    <rPh sb="35" eb="36">
      <t>ダ</t>
    </rPh>
    <phoneticPr fontId="1"/>
  </si>
  <si>
    <t>「計算処理１」の多くを流用できます。
二つ目の数値が０の場合の判断をどうするか、除算結果を小数点以下3桁までの表示にする部分がポイントでしょうか。</t>
    <rPh sb="0" eb="2">
      <t>ケイサン</t>
    </rPh>
    <rPh sb="2" eb="4">
      <t>ショリ</t>
    </rPh>
    <rPh sb="7" eb="8">
      <t>オオ</t>
    </rPh>
    <rPh sb="10" eb="12">
      <t>リュウヨウ</t>
    </rPh>
    <rPh sb="18" eb="19">
      <t>フタ</t>
    </rPh>
    <rPh sb="20" eb="21">
      <t>メ</t>
    </rPh>
    <rPh sb="22" eb="24">
      <t>スウチ</t>
    </rPh>
    <rPh sb="27" eb="29">
      <t>バアイ</t>
    </rPh>
    <rPh sb="30" eb="32">
      <t>ハンダン</t>
    </rPh>
    <rPh sb="39" eb="41">
      <t>ジョザン</t>
    </rPh>
    <rPh sb="41" eb="43">
      <t>ケッカ</t>
    </rPh>
    <rPh sb="44" eb="49">
      <t>ショウスウテンイカ</t>
    </rPh>
    <rPh sb="50" eb="51">
      <t>ケタ</t>
    </rPh>
    <rPh sb="54" eb="56">
      <t>ヒョウジ</t>
    </rPh>
    <rPh sb="59" eb="61">
      <t>ブブン</t>
    </rPh>
    <phoneticPr fontId="1"/>
  </si>
  <si>
    <t>これまでのロジックの大半を使いまわせますが、さらにオブジェクト指向的な作りも可能かと。算術ごとに計算するクラスを作ってみたり。
Interfaceを知っているならそれを使うのもありかと。</t>
    <rPh sb="10" eb="12">
      <t>タイハン</t>
    </rPh>
    <rPh sb="13" eb="14">
      <t>ツカ</t>
    </rPh>
    <rPh sb="31" eb="33">
      <t>シコウ</t>
    </rPh>
    <rPh sb="33" eb="34">
      <t>テキ</t>
    </rPh>
    <rPh sb="35" eb="36">
      <t>ツク</t>
    </rPh>
    <rPh sb="38" eb="40">
      <t>カノウ</t>
    </rPh>
    <rPh sb="43" eb="45">
      <t>サンジュツ</t>
    </rPh>
    <rPh sb="48" eb="50">
      <t>ケイサン</t>
    </rPh>
    <rPh sb="56" eb="57">
      <t>ツク</t>
    </rPh>
    <rPh sb="74" eb="75">
      <t>シ</t>
    </rPh>
    <rPh sb="84" eb="85">
      <t>ツカ</t>
    </rPh>
    <phoneticPr fontId="1"/>
  </si>
  <si>
    <t>ライブラリ：\\Isserv-dc4\研修用\ソフトウェア\ojdbc8.jar
適当なフォルダに配置して参照できるようにする。
接続文字列（参考ランを見てから）
ドライバーのパス：oracle.jdbc.driver.OracleDriver
接続用のURL：jdbc:oracle:thin:system/pass@//localhost:1521/kintai</t>
    <rPh sb="41" eb="43">
      <t>テキトウ</t>
    </rPh>
    <rPh sb="49" eb="51">
      <t>ハイチ</t>
    </rPh>
    <rPh sb="53" eb="55">
      <t>サンショウ</t>
    </rPh>
    <rPh sb="65" eb="67">
      <t>セツゾク</t>
    </rPh>
    <rPh sb="67" eb="70">
      <t>モジレツ</t>
    </rPh>
    <rPh sb="71" eb="73">
      <t>サンコウ</t>
    </rPh>
    <rPh sb="76" eb="77">
      <t>ミ</t>
    </rPh>
    <rPh sb="124" eb="127">
      <t>セツゾクヨウ</t>
    </rPh>
    <phoneticPr fontId="1"/>
  </si>
  <si>
    <t>データベースの接続とか、テーブルを読み込む処理などはそれぞれ別クラスで行いたい。
あと、読み込んだ情報をbeanに入れるなども意識できれば。
テーブル「PRODUCT」
・CD：商品コード：CHAR(3)
・NAME：商品名：VARCHAR(20)
・PRICE：単価：NUMBER</t>
    <rPh sb="7" eb="9">
      <t>セツゾク</t>
    </rPh>
    <rPh sb="17" eb="18">
      <t>ヨ</t>
    </rPh>
    <rPh sb="19" eb="20">
      <t>コ</t>
    </rPh>
    <rPh sb="21" eb="23">
      <t>ショリ</t>
    </rPh>
    <rPh sb="30" eb="31">
      <t>ベツ</t>
    </rPh>
    <rPh sb="35" eb="36">
      <t>オコナ</t>
    </rPh>
    <rPh sb="44" eb="45">
      <t>ヨ</t>
    </rPh>
    <rPh sb="46" eb="47">
      <t>コ</t>
    </rPh>
    <rPh sb="49" eb="51">
      <t>ジョウホウ</t>
    </rPh>
    <rPh sb="57" eb="58">
      <t>イ</t>
    </rPh>
    <rPh sb="63" eb="65">
      <t>イシキ</t>
    </rPh>
    <rPh sb="133" eb="135">
      <t>タンカ</t>
    </rPh>
    <phoneticPr fontId="1"/>
  </si>
  <si>
    <t>最初に、加算、減算、乗算、除算、剰余、終了のいずれかを選択し、その後、「計算処理２」と同じように2つの数値（今度は小数点あり）を入力すると選択した算術で計算して結果を表示します。表示後、再度算術の選択へ。終了を選択すると終了します。
数字は-100超、100未満、小数点以下3位までの入力とする。</t>
    <rPh sb="0" eb="2">
      <t>サイショ</t>
    </rPh>
    <rPh sb="4" eb="6">
      <t>カサン</t>
    </rPh>
    <rPh sb="7" eb="9">
      <t>ゲンザン</t>
    </rPh>
    <rPh sb="10" eb="12">
      <t>ジョウザン</t>
    </rPh>
    <rPh sb="13" eb="15">
      <t>ジョザン</t>
    </rPh>
    <rPh sb="16" eb="18">
      <t>ジョウヨ</t>
    </rPh>
    <rPh sb="19" eb="21">
      <t>シュウリョウ</t>
    </rPh>
    <rPh sb="27" eb="29">
      <t>センタク</t>
    </rPh>
    <rPh sb="33" eb="34">
      <t>ゴ</t>
    </rPh>
    <rPh sb="36" eb="40">
      <t>ケイサンショリ</t>
    </rPh>
    <rPh sb="43" eb="44">
      <t>オナ</t>
    </rPh>
    <rPh sb="51" eb="53">
      <t>スウチ</t>
    </rPh>
    <rPh sb="54" eb="56">
      <t>コンド</t>
    </rPh>
    <rPh sb="57" eb="60">
      <t>ショウスウテン</t>
    </rPh>
    <rPh sb="64" eb="66">
      <t>ニュウリョク</t>
    </rPh>
    <rPh sb="69" eb="71">
      <t>センタク</t>
    </rPh>
    <rPh sb="73" eb="75">
      <t>サンジュツ</t>
    </rPh>
    <rPh sb="76" eb="78">
      <t>ケイサン</t>
    </rPh>
    <rPh sb="80" eb="82">
      <t>ケッカ</t>
    </rPh>
    <rPh sb="83" eb="85">
      <t>ヒョウジ</t>
    </rPh>
    <rPh sb="89" eb="92">
      <t>ヒョウジゴ</t>
    </rPh>
    <rPh sb="93" eb="95">
      <t>サイド</t>
    </rPh>
    <rPh sb="95" eb="97">
      <t>サンジュツ</t>
    </rPh>
    <rPh sb="98" eb="100">
      <t>センタク</t>
    </rPh>
    <rPh sb="102" eb="104">
      <t>シュウリョウ</t>
    </rPh>
    <rPh sb="105" eb="107">
      <t>センタク</t>
    </rPh>
    <rPh sb="110" eb="112">
      <t>シュウリョウ</t>
    </rPh>
    <rPh sb="117" eb="119">
      <t>スウジ</t>
    </rPh>
    <rPh sb="132" eb="135">
      <t>ショウスウテン</t>
    </rPh>
    <rPh sb="135" eb="137">
      <t>イカ</t>
    </rPh>
    <rPh sb="138" eb="139">
      <t>クライ</t>
    </rPh>
    <rPh sb="142" eb="144">
      <t>ニュウリョク</t>
    </rPh>
    <phoneticPr fontId="1"/>
  </si>
  <si>
    <t>コンソール出力と配列
・コンソール出力、正規表現、配列、繰り返し、例外処理、API,、メソッド etc</t>
    <rPh sb="5" eb="7">
      <t>シュツリョク</t>
    </rPh>
    <rPh sb="8" eb="10">
      <t>ハイレツ</t>
    </rPh>
    <rPh sb="17" eb="19">
      <t>シュツリョク</t>
    </rPh>
    <rPh sb="20" eb="24">
      <t>セイキヒョウゲン</t>
    </rPh>
    <rPh sb="25" eb="27">
      <t>ハイレツ</t>
    </rPh>
    <rPh sb="28" eb="29">
      <t>ク</t>
    </rPh>
    <rPh sb="30" eb="31">
      <t>カエ</t>
    </rPh>
    <rPh sb="33" eb="37">
      <t>レイガイショリ</t>
    </rPh>
    <phoneticPr fontId="1"/>
  </si>
  <si>
    <t xml:space="preserve">入力値をいったん保管する必要がある。
まずは配列を使用してみましょう。
</t>
    <rPh sb="0" eb="2">
      <t>ニュウリョク</t>
    </rPh>
    <rPh sb="2" eb="3">
      <t>チ</t>
    </rPh>
    <rPh sb="8" eb="10">
      <t>ホカン</t>
    </rPh>
    <rPh sb="12" eb="14">
      <t>ヒツヨウ</t>
    </rPh>
    <rPh sb="22" eb="24">
      <t>ハイレツ</t>
    </rPh>
    <rPh sb="25" eb="27">
      <t>シヨウ</t>
    </rPh>
    <phoneticPr fontId="1"/>
  </si>
  <si>
    <t>https://qiita.com/git2024/items/0af362eb6b1700177202</t>
    <phoneticPr fontId="1"/>
  </si>
  <si>
    <t>コンソール出力とリスト
・コンソール出力、リスト、繰り返し、例外処理、API,、メソッド、クラス etc</t>
    <rPh sb="5" eb="7">
      <t>シュツリョク</t>
    </rPh>
    <rPh sb="18" eb="20">
      <t>シュツリョク</t>
    </rPh>
    <rPh sb="25" eb="26">
      <t>ク</t>
    </rPh>
    <rPh sb="27" eb="28">
      <t>カエ</t>
    </rPh>
    <rPh sb="30" eb="34">
      <t>レイガイショリ</t>
    </rPh>
    <phoneticPr fontId="1"/>
  </si>
  <si>
    <t>多くは「コンソール出力とリスト」を流用可能。
ファイルの出力はおそらく何も見ずには書けないと思うので調べましょう。文字コードは任せます。この後の問題でここで作ったファイルを読み込む処理があるのでそこと整合性を合わせる必要があります。</t>
    <rPh sb="0" eb="1">
      <t>オオ</t>
    </rPh>
    <rPh sb="9" eb="11">
      <t>シュツリョク</t>
    </rPh>
    <rPh sb="17" eb="19">
      <t>リュウヨウ</t>
    </rPh>
    <rPh sb="19" eb="21">
      <t>カノウ</t>
    </rPh>
    <rPh sb="29" eb="31">
      <t>シュツリョク</t>
    </rPh>
    <rPh sb="36" eb="37">
      <t>ナニ</t>
    </rPh>
    <rPh sb="38" eb="39">
      <t>ミ</t>
    </rPh>
    <rPh sb="42" eb="43">
      <t>カ</t>
    </rPh>
    <rPh sb="47" eb="48">
      <t>オモ</t>
    </rPh>
    <rPh sb="51" eb="52">
      <t>シラ</t>
    </rPh>
    <rPh sb="58" eb="60">
      <t>モジ</t>
    </rPh>
    <rPh sb="64" eb="65">
      <t>マカ</t>
    </rPh>
    <rPh sb="71" eb="72">
      <t>アト</t>
    </rPh>
    <rPh sb="73" eb="75">
      <t>モンダイ</t>
    </rPh>
    <rPh sb="79" eb="80">
      <t>ツク</t>
    </rPh>
    <rPh sb="87" eb="88">
      <t>ヨ</t>
    </rPh>
    <rPh sb="89" eb="90">
      <t>コ</t>
    </rPh>
    <rPh sb="91" eb="93">
      <t>ショリ</t>
    </rPh>
    <rPh sb="101" eb="104">
      <t>セイゴウセイ</t>
    </rPh>
    <rPh sb="105" eb="106">
      <t>ア</t>
    </rPh>
    <rPh sb="109" eb="111">
      <t>ヒツヨウ</t>
    </rPh>
    <phoneticPr fontId="1"/>
  </si>
  <si>
    <t>ファイル出力とリスト１
・ファイル出力、リスト、繰り返し、例外処理、API,、メソッド、クラス etc</t>
    <rPh sb="4" eb="6">
      <t>シュツリョク</t>
    </rPh>
    <phoneticPr fontId="1"/>
  </si>
  <si>
    <t>ファイル入出力とリスト２
・ファイル入出力、配列（またはLIST）、繰り返し、例外処理、API,、メソッド、クラス etc</t>
    <rPh sb="4" eb="5">
      <t>ニュウ</t>
    </rPh>
    <rPh sb="5" eb="7">
      <t>シュツリョク</t>
    </rPh>
    <rPh sb="18" eb="19">
      <t>ニュウ</t>
    </rPh>
    <rPh sb="19" eb="21">
      <t>シュツリョク</t>
    </rPh>
    <rPh sb="22" eb="24">
      <t>ハイレツ</t>
    </rPh>
    <rPh sb="34" eb="35">
      <t>ク</t>
    </rPh>
    <rPh sb="36" eb="37">
      <t>カエ</t>
    </rPh>
    <rPh sb="39" eb="43">
      <t>レイガイショリ</t>
    </rPh>
    <phoneticPr fontId="1"/>
  </si>
  <si>
    <t>ファイル入出力とリスト１
・ファイル入出力、リスト、繰り返し、例外処理、API,、メソッド、クラス etc</t>
    <rPh sb="4" eb="5">
      <t>ニュウ</t>
    </rPh>
    <rPh sb="5" eb="7">
      <t>シュツリョク</t>
    </rPh>
    <rPh sb="18" eb="19">
      <t>ニュウ</t>
    </rPh>
    <rPh sb="19" eb="21">
      <t>シュツリョク</t>
    </rPh>
    <rPh sb="26" eb="27">
      <t>ク</t>
    </rPh>
    <rPh sb="28" eb="29">
      <t>カエ</t>
    </rPh>
    <rPh sb="31" eb="35">
      <t>レイガイショリ</t>
    </rPh>
    <phoneticPr fontId="1"/>
  </si>
  <si>
    <t>「ファイル出力とリスト１」の多くを流用できるが、ファイルがあれば追記できる部分と同じコードが入力できないようにするにはファイルの中を読み込み、同じコードがないかをチェックする必要がある。</t>
    <rPh sb="5" eb="7">
      <t>シュツリョク</t>
    </rPh>
    <rPh sb="14" eb="15">
      <t>オオ</t>
    </rPh>
    <rPh sb="17" eb="19">
      <t>リュウヨウ</t>
    </rPh>
    <rPh sb="32" eb="34">
      <t>ツイキ</t>
    </rPh>
    <rPh sb="37" eb="39">
      <t>ブブン</t>
    </rPh>
    <rPh sb="40" eb="41">
      <t>オナ</t>
    </rPh>
    <rPh sb="46" eb="48">
      <t>ニュウリョク</t>
    </rPh>
    <rPh sb="64" eb="65">
      <t>ナカ</t>
    </rPh>
    <rPh sb="66" eb="67">
      <t>ヨ</t>
    </rPh>
    <rPh sb="68" eb="69">
      <t>コ</t>
    </rPh>
    <rPh sb="71" eb="72">
      <t>オナ</t>
    </rPh>
    <rPh sb="87" eb="89">
      <t>ヒツヨウ</t>
    </rPh>
    <phoneticPr fontId="1"/>
  </si>
  <si>
    <t>これもうまいこと作れば「ファイル入出力とリスト１」のリソースはほぼ全て利用可能かと思う。</t>
    <rPh sb="8" eb="9">
      <t>ツク</t>
    </rPh>
    <rPh sb="33" eb="34">
      <t>スベ</t>
    </rPh>
    <rPh sb="35" eb="37">
      <t>リヨウ</t>
    </rPh>
    <rPh sb="37" eb="39">
      <t>カノウ</t>
    </rPh>
    <rPh sb="41" eb="42">
      <t>オモ</t>
    </rPh>
    <phoneticPr fontId="1"/>
  </si>
  <si>
    <t>データベースへの接続１
・API,、メソッド、クラス、例外処理 etc</t>
    <rPh sb="8" eb="10">
      <t>セツゾク</t>
    </rPh>
    <rPh sb="27" eb="29">
      <t>レイガイ</t>
    </rPh>
    <rPh sb="29" eb="31">
      <t>ショリ</t>
    </rPh>
    <phoneticPr fontId="1"/>
  </si>
  <si>
    <t>「データベースへの接続１」で使用した接続文字列を外部のテキストファイルに記載して読み込めるようにする。</t>
    <rPh sb="9" eb="11">
      <t>セツゾク</t>
    </rPh>
    <rPh sb="14" eb="16">
      <t>シヨウ</t>
    </rPh>
    <rPh sb="18" eb="20">
      <t>セツゾク</t>
    </rPh>
    <rPh sb="20" eb="23">
      <t>モジレツ</t>
    </rPh>
    <rPh sb="24" eb="26">
      <t>ガイブ</t>
    </rPh>
    <rPh sb="36" eb="38">
      <t>キサイ</t>
    </rPh>
    <rPh sb="40" eb="41">
      <t>ヨ</t>
    </rPh>
    <rPh sb="42" eb="43">
      <t>コ</t>
    </rPh>
    <phoneticPr fontId="1"/>
  </si>
  <si>
    <t>数値入力のみとするには例外処理が必要ですがわからない場合も「参考」のページの方法で実装しましょう。
この後の問題で入力するものが多いのでメソッド化しても良いかもしれません。その際はfunctionパッケージにJavaファイルを作りましょう。
function/mondai03/Mondai03Function</t>
    <rPh sb="0" eb="2">
      <t>スウチ</t>
    </rPh>
    <rPh sb="2" eb="4">
      <t>ニュウリョク</t>
    </rPh>
    <rPh sb="11" eb="13">
      <t>レイガイ</t>
    </rPh>
    <rPh sb="13" eb="15">
      <t>ショリ</t>
    </rPh>
    <rPh sb="16" eb="18">
      <t>ヒツヨウ</t>
    </rPh>
    <rPh sb="26" eb="28">
      <t>バアイ</t>
    </rPh>
    <rPh sb="30" eb="32">
      <t>サンコウ</t>
    </rPh>
    <rPh sb="38" eb="40">
      <t>ホウホウ</t>
    </rPh>
    <rPh sb="41" eb="43">
      <t>ジッソウ</t>
    </rPh>
    <rPh sb="72" eb="73">
      <t>カ</t>
    </rPh>
    <rPh sb="76" eb="77">
      <t>ヨ</t>
    </rPh>
    <rPh sb="88" eb="89">
      <t>サイ</t>
    </rPh>
    <rPh sb="113" eb="114">
      <t>ツク</t>
    </rPh>
    <phoneticPr fontId="1"/>
  </si>
  <si>
    <t>ファイル名：「main」フォルダの問題1の場合、Mondai01.java
「function」フォルダ内の場合、Mondai01Function.java　のように。</t>
    <phoneticPr fontId="1"/>
  </si>
  <si>
    <t>問題はわからない場合調べても大丈夫です。</t>
    <rPh sb="0" eb="2">
      <t>モンダイ</t>
    </rPh>
    <rPh sb="8" eb="10">
      <t>バアイ</t>
    </rPh>
    <rPh sb="10" eb="11">
      <t>シラ</t>
    </rPh>
    <rPh sb="14" eb="17">
      <t>ダイジョウブ</t>
    </rPh>
    <phoneticPr fontId="1"/>
  </si>
  <si>
    <t>基本は「コンソール出力と配列」と同様だがいくつでも入力可能とする。終了は何らかのコードで判定する（商品コードに9999とか）。情報の保管はJavaBeansを使用したい。
終了するときは入力した情報をコンソールに出力する。
出力は商品コード,(カンマ)商品名,(カンマ）単価の形式で出力してください。
（出力例）
001,りんご,150
002,桃,250
・・・</t>
    <rPh sb="0" eb="2">
      <t>キホン</t>
    </rPh>
    <rPh sb="16" eb="18">
      <t>ドウヨウ</t>
    </rPh>
    <rPh sb="25" eb="27">
      <t>ニュウリョク</t>
    </rPh>
    <rPh sb="27" eb="29">
      <t>カノウ</t>
    </rPh>
    <rPh sb="49" eb="51">
      <t>ショウヒン</t>
    </rPh>
    <rPh sb="63" eb="65">
      <t>ジョウホウ</t>
    </rPh>
    <rPh sb="66" eb="68">
      <t>ホカン</t>
    </rPh>
    <rPh sb="79" eb="81">
      <t>シヨウ</t>
    </rPh>
    <rPh sb="86" eb="88">
      <t>シュウリョウ</t>
    </rPh>
    <rPh sb="93" eb="95">
      <t>ニュウリョク</t>
    </rPh>
    <rPh sb="97" eb="99">
      <t>ジョウホウ</t>
    </rPh>
    <rPh sb="106" eb="108">
      <t>シュツリョク</t>
    </rPh>
    <rPh sb="112" eb="114">
      <t>シュツリョク</t>
    </rPh>
    <rPh sb="115" eb="117">
      <t>ショウヒン</t>
    </rPh>
    <rPh sb="135" eb="137">
      <t>タンカ</t>
    </rPh>
    <rPh sb="141" eb="142">
      <t>モモ</t>
    </rPh>
    <phoneticPr fontId="1"/>
  </si>
  <si>
    <t>pleiades起動後に
プロジェクト「test」を作成してください。</t>
    <rPh sb="8" eb="11">
      <t>キドウゴ</t>
    </rPh>
    <rPh sb="26" eb="28">
      <t>サクセイ</t>
    </rPh>
    <phoneticPr fontId="1"/>
  </si>
  <si>
    <t>https://qiita.com/usamaro/items/83de0d8733561661dd5b</t>
    <phoneticPr fontId="1"/>
  </si>
  <si>
    <t>CREATE TABLE books(id NUMBER GENERATED ALWAYS AS IDENTITY,
 name VARCHAR(50), favorite_book VARCHAR(50), detail VARCHAR(150));</t>
    <phoneticPr fontId="1"/>
  </si>
  <si>
    <t xml:space="preserve">・動的Webプロジェクト「testWeb」を作成する。
「参考」ランのページを参照しながらWebシステムの作成進めます。
</t>
    <rPh sb="1" eb="3">
      <t>ドウテキ</t>
    </rPh>
    <rPh sb="22" eb="24">
      <t>サクセイ</t>
    </rPh>
    <rPh sb="29" eb="31">
      <t>サンコウ</t>
    </rPh>
    <rPh sb="39" eb="41">
      <t>サンショウ</t>
    </rPh>
    <rPh sb="53" eb="55">
      <t>サクセイ</t>
    </rPh>
    <rPh sb="55" eb="56">
      <t>スス</t>
    </rPh>
    <phoneticPr fontId="1"/>
  </si>
  <si>
    <t>bean</t>
    <phoneticPr fontId="1"/>
  </si>
  <si>
    <t>etc</t>
    <phoneticPr fontId="1"/>
  </si>
  <si>
    <t>function</t>
    <phoneticPr fontId="1"/>
  </si>
  <si>
    <t>main</t>
    <phoneticPr fontId="1"/>
  </si>
  <si>
    <t>mondaiXX</t>
    <phoneticPr fontId="1"/>
  </si>
  <si>
    <t>〇〇Bean.java</t>
    <phoneticPr fontId="1"/>
  </si>
  <si>
    <t>mondaiXX.java</t>
    <phoneticPr fontId="1"/>
  </si>
  <si>
    <t>┗</t>
    <phoneticPr fontId="1"/>
  </si>
  <si>
    <t>function.java</t>
    <phoneticPr fontId="1"/>
  </si>
  <si>
    <t>etc.java</t>
    <phoneticPr fontId="1"/>
  </si>
  <si>
    <t>※実行しやすいようにあえて「mondaiXX」の中に入れない</t>
    <rPh sb="1" eb="3">
      <t>ジッコウ</t>
    </rPh>
    <rPh sb="24" eb="25">
      <t>ナカ</t>
    </rPh>
    <rPh sb="26" eb="27">
      <t>イ</t>
    </rPh>
    <phoneticPr fontId="1"/>
  </si>
  <si>
    <t xml:space="preserve">ポイントはリストとJavaBeans。「bean」フォルダに作りましょう。Beanの名前は「ProductBean」等？
</t>
    <rPh sb="30" eb="31">
      <t>ツク</t>
    </rPh>
    <rPh sb="42" eb="44">
      <t>ナマエ</t>
    </rPh>
    <rPh sb="58" eb="59">
      <t>ナド</t>
    </rPh>
    <phoneticPr fontId="1"/>
  </si>
  <si>
    <t>Javaプロジェクト のフォルダ構成とJavaファイルの配置例</t>
    <rPh sb="16" eb="18">
      <t>コウセイ</t>
    </rPh>
    <rPh sb="28" eb="30">
      <t>ハイチ</t>
    </rPh>
    <rPh sb="30" eb="31">
      <t>レイ</t>
    </rPh>
    <phoneticPr fontId="1"/>
  </si>
  <si>
    <t>main.java</t>
    <phoneticPr fontId="1"/>
  </si>
  <si>
    <t>┣</t>
    <phoneticPr fontId="1"/>
  </si>
  <si>
    <t>以下のようなのもあり</t>
    <rPh sb="0" eb="2">
      <t>イカ</t>
    </rPh>
    <phoneticPr fontId="1"/>
  </si>
  <si>
    <t>動的Webプロジェクト のフォルダ構成とJavaファイルの配置例</t>
    <rPh sb="0" eb="2">
      <t>ドウテキ</t>
    </rPh>
    <rPh sb="17" eb="19">
      <t>コウセイ</t>
    </rPh>
    <rPh sb="29" eb="31">
      <t>ハイチ</t>
    </rPh>
    <rPh sb="31" eb="32">
      <t>レイ</t>
    </rPh>
    <phoneticPr fontId="1"/>
  </si>
  <si>
    <t>src</t>
    <phoneticPr fontId="1"/>
  </si>
  <si>
    <t>java</t>
    <phoneticPr fontId="1"/>
  </si>
  <si>
    <t>servlet</t>
    <phoneticPr fontId="1"/>
  </si>
  <si>
    <t>mondaiXXServlet.java</t>
    <phoneticPr fontId="1"/>
  </si>
  <si>
    <t>webapp</t>
    <phoneticPr fontId="1"/>
  </si>
  <si>
    <t>WEB-INF</t>
    <phoneticPr fontId="1"/>
  </si>
  <si>
    <t>基本的にこの中にいれること</t>
    <rPh sb="0" eb="3">
      <t>キホンテキ</t>
    </rPh>
    <rPh sb="6" eb="7">
      <t>ナカ</t>
    </rPh>
    <phoneticPr fontId="1"/>
  </si>
  <si>
    <t>jsp</t>
    <phoneticPr fontId="1"/>
  </si>
  <si>
    <t>css</t>
    <phoneticPr fontId="1"/>
  </si>
  <si>
    <t>img</t>
    <phoneticPr fontId="1"/>
  </si>
  <si>
    <t>画面</t>
    <rPh sb="0" eb="2">
      <t>ガメン</t>
    </rPh>
    <phoneticPr fontId="1"/>
  </si>
  <si>
    <t>スタイルシート</t>
    <phoneticPr fontId="1"/>
  </si>
  <si>
    <t>画像ファイル</t>
    <rPh sb="0" eb="2">
      <t>ガゾウ</t>
    </rPh>
    <phoneticPr fontId="1"/>
  </si>
  <si>
    <t>menu.jsp</t>
    <phoneticPr fontId="1"/>
  </si>
  <si>
    <t>main.css</t>
    <phoneticPr fontId="1"/>
  </si>
  <si>
    <t>menu.jpg</t>
    <phoneticPr fontId="1"/>
  </si>
  <si>
    <t>lib</t>
    <phoneticPr fontId="1"/>
  </si>
  <si>
    <t>〇〇.jar</t>
    <phoneticPr fontId="1"/>
  </si>
  <si>
    <t>「フォルダ構成」シートを参照</t>
    <rPh sb="5" eb="7">
      <t>コウセイ</t>
    </rPh>
    <rPh sb="12" eb="14">
      <t>サンショウ</t>
    </rPh>
    <phoneticPr fontId="1"/>
  </si>
  <si>
    <t>view</t>
    <phoneticPr fontId="1"/>
  </si>
  <si>
    <t>Web画面の作成を行います。
まずは、参考のページを見ながら同様のシステムを作ってみます。
http://localhost:8080/testWeb/ReadUsers
※index.jspに記載されたURLからedit.jspに遷移できない。Servletを間にかまして対応しておく（ShowEdit.javaとでも）。原因を知りたい。</t>
    <rPh sb="3" eb="5">
      <t>ガメン</t>
    </rPh>
    <rPh sb="6" eb="8">
      <t>サクセイ</t>
    </rPh>
    <rPh sb="9" eb="10">
      <t>オコナ</t>
    </rPh>
    <rPh sb="19" eb="21">
      <t>サンコウ</t>
    </rPh>
    <rPh sb="26" eb="27">
      <t>ミ</t>
    </rPh>
    <rPh sb="30" eb="32">
      <t>ドウヨウ</t>
    </rPh>
    <rPh sb="38" eb="39">
      <t>ツク</t>
    </rPh>
    <rPh sb="99" eb="101">
      <t>キサイ</t>
    </rPh>
    <phoneticPr fontId="1"/>
  </si>
  <si>
    <t>動的Webプロジェクトの作成
・webシステムの体験</t>
    <rPh sb="0" eb="2">
      <t>ドウテキ</t>
    </rPh>
    <rPh sb="12" eb="14">
      <t>サクセイ</t>
    </rPh>
    <rPh sb="24" eb="26">
      <t>タイケン</t>
    </rPh>
    <phoneticPr fontId="1"/>
  </si>
  <si>
    <t>動的Webプロジェクトの作成２
・webシステムの体験
・部品の移植</t>
    <rPh sb="0" eb="2">
      <t>ドウテキ</t>
    </rPh>
    <rPh sb="12" eb="14">
      <t>サクセイ</t>
    </rPh>
    <rPh sb="29" eb="31">
      <t>ブヒン</t>
    </rPh>
    <rPh sb="32" eb="34">
      <t>イショク</t>
    </rPh>
    <phoneticPr fontId="1"/>
  </si>
  <si>
    <t>書籍登録の仕組みをコピーした後に、商品登録で作ってきた部品も必要分をコピーする。
その後、様々な箇所を修正していく必要がでてくる。結構実践的な問題となってます。
部品の移植なども実際には結構あるので慣れていきましょう。Servletが複数ありますが、同じ処理の記載が多いので、親クラス（継承）を作成する練習にも良いでしょう。</t>
    <rPh sb="0" eb="2">
      <t>ショセキ</t>
    </rPh>
    <rPh sb="2" eb="4">
      <t>トウロク</t>
    </rPh>
    <rPh sb="5" eb="7">
      <t>シク</t>
    </rPh>
    <rPh sb="14" eb="15">
      <t>アト</t>
    </rPh>
    <rPh sb="17" eb="21">
      <t>ショウヒントウロク</t>
    </rPh>
    <rPh sb="22" eb="23">
      <t>ツク</t>
    </rPh>
    <rPh sb="27" eb="29">
      <t>ブヒン</t>
    </rPh>
    <rPh sb="30" eb="33">
      <t>ヒツヨウブン</t>
    </rPh>
    <rPh sb="43" eb="44">
      <t>ゴ</t>
    </rPh>
    <rPh sb="45" eb="47">
      <t>サマザマ</t>
    </rPh>
    <rPh sb="48" eb="50">
      <t>カショ</t>
    </rPh>
    <rPh sb="51" eb="53">
      <t>シュウセイ</t>
    </rPh>
    <rPh sb="57" eb="59">
      <t>ヒツヨウ</t>
    </rPh>
    <rPh sb="65" eb="67">
      <t>ケッコウ</t>
    </rPh>
    <rPh sb="67" eb="70">
      <t>ジッセンテキ</t>
    </rPh>
    <rPh sb="71" eb="73">
      <t>モンダイ</t>
    </rPh>
    <rPh sb="81" eb="83">
      <t>ブヒン</t>
    </rPh>
    <rPh sb="84" eb="86">
      <t>イショク</t>
    </rPh>
    <rPh sb="89" eb="91">
      <t>ジッサイ</t>
    </rPh>
    <rPh sb="93" eb="95">
      <t>ケッコウ</t>
    </rPh>
    <rPh sb="99" eb="100">
      <t>ナ</t>
    </rPh>
    <rPh sb="117" eb="119">
      <t>フクスウ</t>
    </rPh>
    <rPh sb="125" eb="126">
      <t>オナ</t>
    </rPh>
    <rPh sb="127" eb="129">
      <t>ショリ</t>
    </rPh>
    <rPh sb="130" eb="132">
      <t>キサイ</t>
    </rPh>
    <rPh sb="133" eb="134">
      <t>オオ</t>
    </rPh>
    <rPh sb="138" eb="139">
      <t>オヤ</t>
    </rPh>
    <rPh sb="143" eb="145">
      <t>ケイショウ</t>
    </rPh>
    <rPh sb="147" eb="149">
      <t>サクセイ</t>
    </rPh>
    <rPh sb="151" eb="153">
      <t>レンシュウ</t>
    </rPh>
    <rPh sb="155" eb="156">
      <t>ヨ</t>
    </rPh>
    <phoneticPr fontId="1"/>
  </si>
  <si>
    <t>Jdk21のインストール</t>
    <phoneticPr fontId="1"/>
  </si>
  <si>
    <t>\\Isserv-dc4\研修用\ソフトウェア 「jdk-21_windows-x64_bin.exe」</t>
    <phoneticPr fontId="1"/>
  </si>
  <si>
    <t>oracleのインストール</t>
    <phoneticPr fontId="1"/>
  </si>
  <si>
    <t>oracle_db_home.zip</t>
    <phoneticPr fontId="1"/>
  </si>
  <si>
    <t>\\Isserv-dc4\研修用\ソフトウェア oracle_db_home.zip」</t>
    <phoneticPr fontId="1"/>
  </si>
  <si>
    <t>手順に従ってインストールしてください。
※ソフトウェア設定.xlsx「DB(Oracle)の設定」</t>
    <rPh sb="0" eb="2">
      <t>テジュン</t>
    </rPh>
    <rPh sb="3" eb="4">
      <t>シタガ</t>
    </rPh>
    <phoneticPr fontId="1"/>
  </si>
  <si>
    <t>手順に従ってインストールしてください。
※ソフトウェア設定.xlsx「eclipseの設定」</t>
    <rPh sb="0" eb="2">
      <t>テジュン</t>
    </rPh>
    <rPh sb="3" eb="4">
      <t>シタガ</t>
    </rPh>
    <phoneticPr fontId="1"/>
  </si>
  <si>
    <t>手順に従ってインストールしてください。
※ソフトウェア設定.xlsx「jdk追加設定」</t>
    <rPh sb="0" eb="2">
      <t>テジュン</t>
    </rPh>
    <rPh sb="3" eb="4">
      <t>シタガ</t>
    </rPh>
    <phoneticPr fontId="1"/>
  </si>
  <si>
    <t>データベース名は「kintai」にする</t>
    <rPh sb="6" eb="7">
      <t>メイ</t>
    </rPh>
    <phoneticPr fontId="1"/>
  </si>
  <si>
    <t>-</t>
    <phoneticPr fontId="1"/>
  </si>
  <si>
    <t>データを持つクラス</t>
    <rPh sb="4" eb="5">
      <t>モ</t>
    </rPh>
    <phoneticPr fontId="1"/>
  </si>
  <si>
    <t>javaBeans</t>
    <phoneticPr fontId="1"/>
  </si>
  <si>
    <t>(springのentityとか、formとか？)</t>
    <phoneticPr fontId="1"/>
  </si>
  <si>
    <t>function＝関数</t>
    <rPh sb="9" eb="11">
      <t>カンスウ</t>
    </rPh>
    <phoneticPr fontId="1"/>
  </si>
  <si>
    <t>メソッド化した部品いれる</t>
    <rPh sb="4" eb="5">
      <t>カ</t>
    </rPh>
    <rPh sb="7" eb="9">
      <t>ブヒン</t>
    </rPh>
    <phoneticPr fontId="1"/>
  </si>
  <si>
    <t>時間</t>
    <rPh sb="0" eb="2">
      <t>ジカン</t>
    </rPh>
    <phoneticPr fontId="1"/>
  </si>
  <si>
    <t>2026/4/2  
11:00:00から時間記録開始</t>
    <rPh sb="21" eb="23">
      <t>ジカン</t>
    </rPh>
    <rPh sb="23" eb="25">
      <t>キロク</t>
    </rPh>
    <rPh sb="25" eb="27">
      <t>カイシ</t>
    </rPh>
    <phoneticPr fontId="1"/>
  </si>
  <si>
    <t>47分</t>
    <rPh sb="2" eb="3">
      <t>フン</t>
    </rPh>
    <phoneticPr fontId="1"/>
  </si>
  <si>
    <t>50分　13：50</t>
    <rPh sb="2" eb="3">
      <t>プン</t>
    </rPh>
    <phoneticPr fontId="1"/>
  </si>
  <si>
    <t>16：20　大苦戦　２時間くらい？</t>
    <rPh sb="6" eb="9">
      <t>ダイクセン</t>
    </rPh>
    <rPh sb="11" eb="13">
      <t>ジカン</t>
    </rPh>
    <phoneticPr fontId="1"/>
  </si>
  <si>
    <t>4/2の16：50中断</t>
    <rPh sb="9" eb="11">
      <t>チュウダン</t>
    </rPh>
    <phoneticPr fontId="1"/>
  </si>
  <si>
    <t>BANGO</t>
  </si>
  <si>
    <t>HIZUKE</t>
  </si>
  <si>
    <t>KUBUN</t>
  </si>
  <si>
    <t>SAKUJO</t>
  </si>
  <si>
    <t>BIKO</t>
  </si>
  <si>
    <t>UKETUKEBI</t>
  </si>
  <si>
    <t>UKETUKESHA</t>
  </si>
  <si>
    <t>ZAITAKU</t>
  </si>
  <si>
    <t>1</t>
  </si>
  <si>
    <t>0</t>
  </si>
  <si>
    <t>体調不良</t>
  </si>
  <si>
    <t>有本</t>
  </si>
  <si>
    <t>« NULL »</t>
  </si>
  <si>
    <t>4</t>
  </si>
  <si>
    <t>夏季休暇</t>
  </si>
  <si>
    <t>扁桃炎で発熱があり本日はお休みさせて頂きます。</t>
  </si>
  <si>
    <t>キタムラ　ユウコ</t>
  </si>
  <si>
    <t>アキタ　サトル</t>
  </si>
  <si>
    <t>キムラ　タエ</t>
  </si>
  <si>
    <t>アイダ　ミユ</t>
  </si>
  <si>
    <t>タムラ　タカシ</t>
  </si>
  <si>
    <t>スギノ　ノリヨ</t>
  </si>
  <si>
    <t>オカダ　トシロウ</t>
  </si>
  <si>
    <t>ソネ　タツヤ</t>
  </si>
  <si>
    <t>ツヅキ　ジュンヤ</t>
  </si>
  <si>
    <t>センカワ　シゲル</t>
  </si>
  <si>
    <t>カガ　アキヨ</t>
  </si>
  <si>
    <t>ツキシマ　ワタル</t>
  </si>
  <si>
    <t>ハマダ　サトシ</t>
  </si>
  <si>
    <t>クボデラ　ヨウイチ</t>
  </si>
  <si>
    <t>モリモト　ハシヤ</t>
  </si>
  <si>
    <t>スエナガ　アキコ</t>
  </si>
  <si>
    <t>マツモト　ミワコ</t>
  </si>
  <si>
    <t>サイトウ　モモコ</t>
  </si>
  <si>
    <t>エガワ　サトコ</t>
  </si>
  <si>
    <t>カワムラ　タツヤ</t>
  </si>
  <si>
    <t>セキグチ　ショウイチロウ</t>
  </si>
  <si>
    <t>ハシモト　リョウジ</t>
  </si>
  <si>
    <t>ホリ　ミツル</t>
  </si>
  <si>
    <t>サカタ　リョウヘイ</t>
  </si>
  <si>
    <t>セキ　ショウタロウ</t>
  </si>
  <si>
    <t>コイズミ　マチコ</t>
  </si>
  <si>
    <t>ワダ　アキヒコ</t>
  </si>
  <si>
    <t>ナカジョウ　ヨシヒコ</t>
  </si>
  <si>
    <t>オダ　シンタロウ</t>
  </si>
  <si>
    <t>モリシタ　カズミ</t>
  </si>
  <si>
    <t>廃止口座</t>
    <rPh sb="0" eb="2">
      <t>ハイシ</t>
    </rPh>
    <rPh sb="2" eb="4">
      <t>コウザ</t>
    </rPh>
    <phoneticPr fontId="1"/>
  </si>
  <si>
    <t>取引</t>
    <rPh sb="0" eb="2">
      <t>トリヒキ</t>
    </rPh>
    <phoneticPr fontId="1"/>
  </si>
  <si>
    <t>預入</t>
  </si>
  <si>
    <t>引出</t>
  </si>
  <si>
    <t>振込</t>
  </si>
  <si>
    <t>通帳記入</t>
  </si>
  <si>
    <t>残高照会</t>
  </si>
  <si>
    <t>手数料引落</t>
  </si>
  <si>
    <t>その他</t>
  </si>
  <si>
    <t>2026/4/7  9:30くらいから
60分くらい</t>
    <phoneticPr fontId="1"/>
  </si>
  <si>
    <t>30分くらい</t>
    <rPh sb="2" eb="3">
      <t>プン</t>
    </rPh>
    <phoneticPr fontId="1"/>
  </si>
  <si>
    <t>10：30から 4/82時間くらい？</t>
    <rPh sb="12" eb="14">
      <t>ジカン</t>
    </rPh>
    <phoneticPr fontId="1"/>
  </si>
  <si>
    <t>10：30から　20分くらい</t>
    <rPh sb="10" eb="11">
      <t>プン</t>
    </rPh>
    <phoneticPr fontId="1"/>
  </si>
  <si>
    <t>10：50～11：30　40分くらい</t>
    <rPh sb="14" eb="15">
      <t>プン</t>
    </rPh>
    <phoneticPr fontId="1"/>
  </si>
  <si>
    <t>4/8途中 10:00</t>
    <rPh sb="3" eb="5">
      <t>トチュウ</t>
    </rPh>
    <phoneticPr fontId="1"/>
  </si>
  <si>
    <r>
      <t>基本は「コンソール出力とリスト」と同じだが、終了するときは入力した情報をテキストファイルに出力する。
テキストは商品名,(カンマ）単価のCSV形式で</t>
    </r>
    <r>
      <rPr>
        <b/>
        <sz val="9"/>
        <color theme="1"/>
        <rFont val="ＭＳ Ｐゴシック"/>
        <family val="3"/>
        <charset val="128"/>
      </rPr>
      <t>商品コードの昇順</t>
    </r>
    <r>
      <rPr>
        <sz val="9"/>
        <color theme="1"/>
        <rFont val="ＭＳ Ｐゴシック"/>
        <family val="3"/>
        <charset val="128"/>
      </rPr>
      <t>で出力してください。
（出力例）
001,りんご,150
002,桃,250
・・・</t>
    </r>
    <rPh sb="0" eb="2">
      <t>キホン</t>
    </rPh>
    <rPh sb="22" eb="24">
      <t>シュウリョウ</t>
    </rPh>
    <rPh sb="29" eb="31">
      <t>ニュウリョク</t>
    </rPh>
    <rPh sb="33" eb="35">
      <t>ジョウホウ</t>
    </rPh>
    <rPh sb="45" eb="47">
      <t>シュツリョク</t>
    </rPh>
    <rPh sb="56" eb="59">
      <t>ショウヒンメイ</t>
    </rPh>
    <rPh sb="65" eb="67">
      <t>タンカ</t>
    </rPh>
    <rPh sb="71" eb="73">
      <t>ケイシキ</t>
    </rPh>
    <rPh sb="74" eb="76">
      <t>ショウヒン</t>
    </rPh>
    <rPh sb="80" eb="82">
      <t>ショウジュン</t>
    </rPh>
    <rPh sb="83" eb="85">
      <t>シュツリョク</t>
    </rPh>
    <rPh sb="115" eb="116">
      <t>モモ</t>
    </rPh>
    <phoneticPr fontId="1"/>
  </si>
  <si>
    <r>
      <t xml:space="preserve">基本的に「ファイル出力とリスト１」と似ているが、ファイルが存在する場合はそこに追加できるようにする。また、同じコードでは入力できないようにしたい。
</t>
    </r>
    <r>
      <rPr>
        <b/>
        <sz val="9"/>
        <color theme="1"/>
        <rFont val="ＭＳ Ｐゴシック"/>
        <family val="3"/>
        <charset val="128"/>
      </rPr>
      <t>出力順は商品コードの昇順で。</t>
    </r>
    <rPh sb="0" eb="2">
      <t>キホン</t>
    </rPh>
    <rPh sb="2" eb="3">
      <t>テキ</t>
    </rPh>
    <rPh sb="9" eb="11">
      <t>シュツリョク</t>
    </rPh>
    <rPh sb="18" eb="19">
      <t>ニ</t>
    </rPh>
    <rPh sb="29" eb="31">
      <t>ソンザイ</t>
    </rPh>
    <rPh sb="33" eb="35">
      <t>バアイ</t>
    </rPh>
    <rPh sb="39" eb="41">
      <t>ツイカ</t>
    </rPh>
    <rPh sb="53" eb="54">
      <t>オナ</t>
    </rPh>
    <rPh sb="60" eb="62">
      <t>ニュウリョク</t>
    </rPh>
    <rPh sb="74" eb="76">
      <t>シュツリョク</t>
    </rPh>
    <rPh sb="76" eb="77">
      <t>ジュン</t>
    </rPh>
    <rPh sb="78" eb="80">
      <t>ショウヒン</t>
    </rPh>
    <rPh sb="84" eb="86">
      <t>ショウジュン</t>
    </rPh>
    <phoneticPr fontId="1"/>
  </si>
  <si>
    <r>
      <t xml:space="preserve">基本的に「ファイル入出力とリスト１」と似ているが、同じコードだった場合は情報を上書きできるように。
</t>
    </r>
    <r>
      <rPr>
        <b/>
        <sz val="9"/>
        <color theme="1"/>
        <rFont val="ＭＳ Ｐゴシック"/>
        <family val="3"/>
        <charset val="128"/>
      </rPr>
      <t>出力順は商品コードの昇順で。</t>
    </r>
    <rPh sb="0" eb="2">
      <t>キホン</t>
    </rPh>
    <rPh sb="2" eb="3">
      <t>テキ</t>
    </rPh>
    <rPh sb="19" eb="20">
      <t>ニ</t>
    </rPh>
    <rPh sb="25" eb="26">
      <t>オナ</t>
    </rPh>
    <rPh sb="33" eb="35">
      <t>バアイ</t>
    </rPh>
    <rPh sb="36" eb="38">
      <t>ジョウホウ</t>
    </rPh>
    <rPh sb="39" eb="41">
      <t>ウワガ</t>
    </rPh>
    <phoneticPr fontId="1"/>
  </si>
  <si>
    <r>
      <t>商品コード、商品名、単価を入力できるようにする。３セットまで入力可能。
入力後、入力した情報をコンソールに出力する。商品登録をイメージ。
出力は商品コード,(カンマ)商品名,(カンマ）単価の形式で出力してください。
（出力例）
商品コード（数値3桁）：001
商品名（</t>
    </r>
    <r>
      <rPr>
        <strike/>
        <sz val="9"/>
        <color theme="1"/>
        <rFont val="ＭＳ Ｐゴシック"/>
        <family val="3"/>
        <charset val="128"/>
      </rPr>
      <t>全角１０文字</t>
    </r>
    <r>
      <rPr>
        <sz val="9"/>
        <color theme="1"/>
        <rFont val="ＭＳ Ｐゴシック"/>
        <family val="3"/>
        <charset val="128"/>
      </rPr>
      <t>→</t>
    </r>
    <r>
      <rPr>
        <sz val="9"/>
        <color rgb="FFFF0000"/>
        <rFont val="ＭＳ Ｐゴシック"/>
        <family val="3"/>
        <charset val="128"/>
      </rPr>
      <t>20バイト</t>
    </r>
    <r>
      <rPr>
        <sz val="9"/>
        <color theme="1"/>
        <rFont val="ＭＳ Ｐゴシック"/>
        <family val="3"/>
        <charset val="128"/>
      </rPr>
      <t>以内）：りんご
単価（1,000,000未満）：150
・・・・
001,りんご,150
002,桃,250
・・・</t>
    </r>
    <rPh sb="0" eb="2">
      <t>ショウヒン</t>
    </rPh>
    <rPh sb="6" eb="9">
      <t>ショウヒンメイ</t>
    </rPh>
    <rPh sb="10" eb="12">
      <t>タンカ</t>
    </rPh>
    <rPh sb="13" eb="15">
      <t>ニュウリョク</t>
    </rPh>
    <rPh sb="30" eb="34">
      <t>ニュウリョクカノウ</t>
    </rPh>
    <rPh sb="40" eb="42">
      <t>ニュウリョク</t>
    </rPh>
    <rPh sb="44" eb="46">
      <t>ジョウホウ</t>
    </rPh>
    <rPh sb="53" eb="55">
      <t>シュツリョク</t>
    </rPh>
    <rPh sb="58" eb="60">
      <t>ショウヒン</t>
    </rPh>
    <rPh sb="60" eb="62">
      <t>トウロク</t>
    </rPh>
    <rPh sb="69" eb="71">
      <t>シュツリョク</t>
    </rPh>
    <rPh sb="72" eb="74">
      <t>ショウヒン</t>
    </rPh>
    <rPh sb="92" eb="94">
      <t>タンカ</t>
    </rPh>
    <rPh sb="98" eb="99">
      <t>モモ</t>
    </rPh>
    <rPh sb="114" eb="116">
      <t>ショウヒン</t>
    </rPh>
    <rPh sb="120" eb="122">
      <t>スウチ</t>
    </rPh>
    <rPh sb="123" eb="124">
      <t>ケタ</t>
    </rPh>
    <rPh sb="130" eb="133">
      <t>ショウヒンメイ</t>
    </rPh>
    <rPh sb="134" eb="136">
      <t>ゼンカク</t>
    </rPh>
    <rPh sb="138" eb="140">
      <t>モジ</t>
    </rPh>
    <rPh sb="146" eb="148">
      <t>イナイ</t>
    </rPh>
    <rPh sb="154" eb="156">
      <t>タンカ</t>
    </rPh>
    <rPh sb="166" eb="168">
      <t>ミマン</t>
    </rPh>
    <phoneticPr fontId="1"/>
  </si>
  <si>
    <t>データベースの操作５
・SQL：複数テーブルの扱い、Java:API,、メソッド、クラス、例外処理 etc</t>
    <rPh sb="7" eb="9">
      <t>ソウサ</t>
    </rPh>
    <rPh sb="16" eb="18">
      <t>フクスウ</t>
    </rPh>
    <rPh sb="23" eb="24">
      <t>アツカ</t>
    </rPh>
    <phoneticPr fontId="1"/>
  </si>
  <si>
    <t>上で作成したシステムを編集（コピーして）して、商品登録のシステムに変更してみる。
これまでに作成したクラスで使いまわせるものは移植する。
商品一覧表示、商品の新規登録、入出庫の登録、在庫一覧の表示、商品の更新、商品の削除ができるように。</t>
    <rPh sb="0" eb="1">
      <t>ウエ</t>
    </rPh>
    <rPh sb="2" eb="4">
      <t>サクセイ</t>
    </rPh>
    <rPh sb="11" eb="13">
      <t>ヘンシュウ</t>
    </rPh>
    <rPh sb="23" eb="27">
      <t>ショウヒントウロク</t>
    </rPh>
    <rPh sb="33" eb="35">
      <t>ヘンコウ</t>
    </rPh>
    <rPh sb="46" eb="48">
      <t>サクセイ</t>
    </rPh>
    <rPh sb="54" eb="55">
      <t>ツカ</t>
    </rPh>
    <rPh sb="63" eb="65">
      <t>イショク</t>
    </rPh>
    <rPh sb="69" eb="71">
      <t>ショウヒン</t>
    </rPh>
    <rPh sb="71" eb="73">
      <t>イチラン</t>
    </rPh>
    <rPh sb="73" eb="75">
      <t>ヒョウジ</t>
    </rPh>
    <rPh sb="76" eb="78">
      <t>ショウヒン</t>
    </rPh>
    <rPh sb="79" eb="83">
      <t>シンキトウロク</t>
    </rPh>
    <rPh sb="84" eb="87">
      <t>ニュウシュッコ</t>
    </rPh>
    <rPh sb="88" eb="90">
      <t>トウロク</t>
    </rPh>
    <rPh sb="91" eb="93">
      <t>ザイコ</t>
    </rPh>
    <rPh sb="93" eb="95">
      <t>イチラン</t>
    </rPh>
    <rPh sb="96" eb="98">
      <t>ヒョウジ</t>
    </rPh>
    <rPh sb="99" eb="101">
      <t>ショウヒン</t>
    </rPh>
    <rPh sb="102" eb="104">
      <t>コウシン</t>
    </rPh>
    <rPh sb="105" eb="107">
      <t>ショウヒン</t>
    </rPh>
    <rPh sb="108" eb="110">
      <t>サクジョ</t>
    </rPh>
    <phoneticPr fontId="1"/>
  </si>
  <si>
    <r>
      <t xml:space="preserve">データベースSELECT：https://qiita.com/takahirocook/items/ad331267bc98c2cd0870
</t>
    </r>
    <r>
      <rPr>
        <b/>
        <sz val="9"/>
        <color rgb="FFFF0000"/>
        <rFont val="ＭＳ Ｐゴシック"/>
        <family val="3"/>
        <charset val="128"/>
      </rPr>
      <t>preparedstatement：大事！</t>
    </r>
    <r>
      <rPr>
        <sz val="9"/>
        <color theme="1"/>
        <rFont val="ＭＳ Ｐゴシック"/>
        <family val="3"/>
        <charset val="128"/>
      </rPr>
      <t xml:space="preserve">
https://qiita.com/ika_katsuo/items/dfbf9ed227ca08256760</t>
    </r>
    <rPh sb="90" eb="92">
      <t>ダイジ</t>
    </rPh>
    <phoneticPr fontId="1"/>
  </si>
  <si>
    <t>https://qiita.com/EasyCoder/items/f8b1a62a9298231efd21
以下、ものすごく大事
https://qiita.com/BinomialSheep/items/97d79e18faa3a2ba80de</t>
    <rPh sb="55" eb="57">
      <t>イカ</t>
    </rPh>
    <rPh sb="63" eb="65">
      <t>ダイジ</t>
    </rPh>
    <phoneticPr fontId="1"/>
  </si>
  <si>
    <t xml:space="preserve">まず、商品の一覧を表示する。（上の問題と同じこと）
そのうえで、「ファイル出力とリスト１」と同様、商品コード、商品名、単価を入力できるようにする。同じコードの登録は不可。終了判定も同様。
終了するときは入力した情報をテーブル「PRODUCT」に登録する。
登録した内容をコンソールに出力する。
</t>
    <rPh sb="3" eb="5">
      <t>ショウヒン</t>
    </rPh>
    <rPh sb="6" eb="8">
      <t>イチラン</t>
    </rPh>
    <rPh sb="9" eb="11">
      <t>ヒョウジ</t>
    </rPh>
    <rPh sb="15" eb="16">
      <t>ウエ</t>
    </rPh>
    <rPh sb="17" eb="19">
      <t>モンダイ</t>
    </rPh>
    <rPh sb="20" eb="21">
      <t>オナ</t>
    </rPh>
    <rPh sb="46" eb="48">
      <t>ドウヨウ</t>
    </rPh>
    <rPh sb="49" eb="51">
      <t>ショウヒン</t>
    </rPh>
    <rPh sb="55" eb="58">
      <t>ショウヒンメイ</t>
    </rPh>
    <rPh sb="59" eb="61">
      <t>タンカ</t>
    </rPh>
    <rPh sb="62" eb="64">
      <t>ニュウリョク</t>
    </rPh>
    <rPh sb="73" eb="74">
      <t>オナ</t>
    </rPh>
    <rPh sb="79" eb="81">
      <t>トウロク</t>
    </rPh>
    <rPh sb="82" eb="84">
      <t>フカ</t>
    </rPh>
    <rPh sb="85" eb="87">
      <t>シュウリョウ</t>
    </rPh>
    <rPh sb="87" eb="89">
      <t>ハンテイ</t>
    </rPh>
    <rPh sb="90" eb="92">
      <t>ドウヨウ</t>
    </rPh>
    <rPh sb="94" eb="96">
      <t>シュウリョウ</t>
    </rPh>
    <rPh sb="101" eb="103">
      <t>ニュウリョク</t>
    </rPh>
    <rPh sb="105" eb="107">
      <t>ジョウホウ</t>
    </rPh>
    <rPh sb="122" eb="124">
      <t>トウロク</t>
    </rPh>
    <rPh sb="141" eb="143">
      <t>シュツリョク</t>
    </rPh>
    <phoneticPr fontId="1"/>
  </si>
  <si>
    <t>「データベースの操作２」と基本的に同じだが、既に登録されている商品コードの場合は情報を変更できるようにする。
終了判定も同様。
終了するときは入力した情報をテーブル「PRODUCT」に登録する。
登録した内容をコンソールに出力する。</t>
    <rPh sb="13" eb="16">
      <t>キホンテキ</t>
    </rPh>
    <rPh sb="17" eb="18">
      <t>オナ</t>
    </rPh>
    <rPh sb="22" eb="23">
      <t>スデ</t>
    </rPh>
    <rPh sb="24" eb="26">
      <t>トウロク</t>
    </rPh>
    <rPh sb="31" eb="33">
      <t>ショウヒン</t>
    </rPh>
    <rPh sb="37" eb="39">
      <t>バアイ</t>
    </rPh>
    <rPh sb="40" eb="42">
      <t>ジョウホウ</t>
    </rPh>
    <rPh sb="43" eb="45">
      <t>ヘンコウ</t>
    </rPh>
    <rPh sb="98" eb="100">
      <t>トウロク</t>
    </rPh>
    <rPh sb="102" eb="104">
      <t>ナイヨウ</t>
    </rPh>
    <phoneticPr fontId="1"/>
  </si>
  <si>
    <t>まず、商品の一覧を表示する。
そのうえで、指定した商品コードのデータを削除できるようにする。
指定した商品コードのデータがない場合はそれをわかるメッセージを表示する。</t>
    <rPh sb="21" eb="23">
      <t>シテイ</t>
    </rPh>
    <rPh sb="25" eb="27">
      <t>ショウヒン</t>
    </rPh>
    <rPh sb="35" eb="37">
      <t>サクジョ</t>
    </rPh>
    <rPh sb="47" eb="49">
      <t>シテイ</t>
    </rPh>
    <rPh sb="51" eb="53">
      <t>ショウヒン</t>
    </rPh>
    <rPh sb="63" eb="65">
      <t>バアイ</t>
    </rPh>
    <rPh sb="78" eb="80">
      <t>ヒョウジ</t>
    </rPh>
    <phoneticPr fontId="1"/>
  </si>
  <si>
    <t xml:space="preserve">存在するかどうかを確認する処理が欲しい。
</t>
    <rPh sb="0" eb="2">
      <t>ソンザイ</t>
    </rPh>
    <rPh sb="9" eb="11">
      <t>カクニン</t>
    </rPh>
    <rPh sb="13" eb="15">
      <t>ショリ</t>
    </rPh>
    <rPh sb="16" eb="17">
      <t>ホ</t>
    </rPh>
    <phoneticPr fontId="1"/>
  </si>
  <si>
    <t xml:space="preserve">存在するかどうかの処理は上のものを使える。
</t>
    <rPh sb="0" eb="2">
      <t>ソンザイ</t>
    </rPh>
    <rPh sb="9" eb="11">
      <t>ショリ</t>
    </rPh>
    <rPh sb="12" eb="13">
      <t>ウエ</t>
    </rPh>
    <rPh sb="17" eb="18">
      <t>ツカ</t>
    </rPh>
    <phoneticPr fontId="1"/>
  </si>
  <si>
    <r>
      <rPr>
        <b/>
        <sz val="9"/>
        <color rgb="FFFF0000"/>
        <rFont val="ＭＳ Ｐゴシック"/>
        <family val="3"/>
        <charset val="128"/>
      </rPr>
      <t>データベースのコネクションの取得後、
Connection.setAutoCommit(False)を実行しましょう。</t>
    </r>
    <r>
      <rPr>
        <sz val="9"/>
        <color theme="1"/>
        <rFont val="ＭＳ Ｐゴシック"/>
        <family val="3"/>
        <charset val="128"/>
      </rPr>
      <t>以降の問題全部。
SQL実行後、commitをしないとデータが反映されないようにします。データベース更新のトランザクションを意識したコーディングを行いましょう。</t>
    </r>
    <rPh sb="14" eb="17">
      <t>シュトクゴ</t>
    </rPh>
    <rPh sb="51" eb="53">
      <t>ジッコウ</t>
    </rPh>
    <rPh sb="59" eb="61">
      <t>イコウ</t>
    </rPh>
    <rPh sb="62" eb="64">
      <t>モンダイ</t>
    </rPh>
    <rPh sb="64" eb="66">
      <t>ゼンブ</t>
    </rPh>
    <rPh sb="71" eb="74">
      <t>ジッコウゴ</t>
    </rPh>
    <rPh sb="90" eb="92">
      <t>ハンエイ</t>
    </rPh>
    <rPh sb="109" eb="111">
      <t>コウシン</t>
    </rPh>
    <rPh sb="121" eb="123">
      <t>イシキ</t>
    </rPh>
    <rPh sb="132" eb="133">
      <t>オコナ</t>
    </rPh>
    <phoneticPr fontId="1"/>
  </si>
  <si>
    <t>開始すると、商品登録か入出庫登録か在庫一覧を選ぶようにする。
商品登録はこれまでの作りと同様。商品登録が終わると最初の選択に戻る。
入出庫を選ぶと、まず、商品コードを入力すると、その入出庫履歴と現在の在庫数を表示したうえ、日にち（年月日）、増減する個数を入力して登録することができるようにする。入出庫の登録で在庫を管理するテーブルを登録する。（在庫チェックは実装しましょう。在庫を上回る出庫はできないとか。）
入出庫の登録の最後も何らかで判断する。（日付に「9」とかの特定キーを入力）とか。
在庫一覧は商品の一覧と現在の在庫数を一覧表示する。
ちなみに、商品テーブルと入出庫管理のテーブルは商品コードを外部キーで設定してみてもよい。</t>
    <rPh sb="0" eb="2">
      <t>カイシ</t>
    </rPh>
    <rPh sb="6" eb="8">
      <t>ショウヒン</t>
    </rPh>
    <rPh sb="8" eb="10">
      <t>トウロク</t>
    </rPh>
    <rPh sb="11" eb="14">
      <t>ニュウシュッコ</t>
    </rPh>
    <rPh sb="14" eb="16">
      <t>トウロク</t>
    </rPh>
    <rPh sb="17" eb="19">
      <t>ザイコ</t>
    </rPh>
    <rPh sb="19" eb="21">
      <t>イチラン</t>
    </rPh>
    <rPh sb="22" eb="23">
      <t>エラ</t>
    </rPh>
    <rPh sb="31" eb="35">
      <t>ショウヒントウロク</t>
    </rPh>
    <rPh sb="41" eb="42">
      <t>ツク</t>
    </rPh>
    <rPh sb="44" eb="46">
      <t>ドウヨウ</t>
    </rPh>
    <rPh sb="47" eb="49">
      <t>ショウヒン</t>
    </rPh>
    <rPh sb="49" eb="51">
      <t>トウロク</t>
    </rPh>
    <rPh sb="52" eb="53">
      <t>オ</t>
    </rPh>
    <rPh sb="56" eb="58">
      <t>サイショ</t>
    </rPh>
    <rPh sb="59" eb="61">
      <t>センタク</t>
    </rPh>
    <rPh sb="62" eb="63">
      <t>モド</t>
    </rPh>
    <rPh sb="66" eb="69">
      <t>ニュウシュッコ</t>
    </rPh>
    <rPh sb="70" eb="71">
      <t>エラ</t>
    </rPh>
    <rPh sb="77" eb="79">
      <t>ショウヒン</t>
    </rPh>
    <rPh sb="83" eb="85">
      <t>ニュウリョク</t>
    </rPh>
    <rPh sb="91" eb="96">
      <t>ニュウシュッコリレキ</t>
    </rPh>
    <rPh sb="97" eb="99">
      <t>ゲンザイ</t>
    </rPh>
    <rPh sb="100" eb="103">
      <t>ザイコスウ</t>
    </rPh>
    <rPh sb="104" eb="106">
      <t>ヒョウジ</t>
    </rPh>
    <rPh sb="111" eb="112">
      <t>ヒ</t>
    </rPh>
    <rPh sb="115" eb="118">
      <t>ネンガッピ</t>
    </rPh>
    <rPh sb="127" eb="129">
      <t>ニュウリョク</t>
    </rPh>
    <rPh sb="131" eb="133">
      <t>トウロク</t>
    </rPh>
    <rPh sb="147" eb="150">
      <t>ニュウシュッコ</t>
    </rPh>
    <rPh sb="151" eb="153">
      <t>トウロク</t>
    </rPh>
    <rPh sb="154" eb="156">
      <t>ザイコ</t>
    </rPh>
    <rPh sb="157" eb="159">
      <t>カンリ</t>
    </rPh>
    <rPh sb="166" eb="168">
      <t>トウロク</t>
    </rPh>
    <rPh sb="172" eb="174">
      <t>ザイコ</t>
    </rPh>
    <rPh sb="179" eb="181">
      <t>ジッソウ</t>
    </rPh>
    <rPh sb="187" eb="189">
      <t>ザイコ</t>
    </rPh>
    <rPh sb="190" eb="192">
      <t>ウワマワ</t>
    </rPh>
    <rPh sb="193" eb="195">
      <t>シュッコ</t>
    </rPh>
    <rPh sb="205" eb="208">
      <t>ニュウシュッコ</t>
    </rPh>
    <rPh sb="209" eb="211">
      <t>トウロク</t>
    </rPh>
    <rPh sb="212" eb="214">
      <t>サイゴ</t>
    </rPh>
    <rPh sb="215" eb="216">
      <t>ナン</t>
    </rPh>
    <rPh sb="219" eb="221">
      <t>ハンダン</t>
    </rPh>
    <rPh sb="225" eb="227">
      <t>ヒヅケ</t>
    </rPh>
    <rPh sb="246" eb="248">
      <t>ザイコ</t>
    </rPh>
    <rPh sb="248" eb="250">
      <t>イチラン</t>
    </rPh>
    <rPh sb="251" eb="253">
      <t>ショウヒン</t>
    </rPh>
    <rPh sb="254" eb="256">
      <t>イチラン</t>
    </rPh>
    <rPh sb="257" eb="259">
      <t>ゲンザイ</t>
    </rPh>
    <rPh sb="260" eb="263">
      <t>ザイコスウ</t>
    </rPh>
    <rPh sb="264" eb="266">
      <t>イチラン</t>
    </rPh>
    <rPh sb="266" eb="268">
      <t>ヒョウジ</t>
    </rPh>
    <rPh sb="278" eb="280">
      <t>ショウヒン</t>
    </rPh>
    <rPh sb="285" eb="288">
      <t>ニュウシュッコ</t>
    </rPh>
    <rPh sb="288" eb="290">
      <t>カンリ</t>
    </rPh>
    <rPh sb="296" eb="298">
      <t>ショウヒン</t>
    </rPh>
    <rPh sb="302" eb="304">
      <t>ガイブ</t>
    </rPh>
    <rPh sb="307" eb="309">
      <t>セッテイ</t>
    </rPh>
    <phoneticPr fontId="1"/>
  </si>
  <si>
    <t>入出庫の登録をするためのテーブルが新たに必要になる。在庫を管理するわけだけど、商品コードと日にちと在庫の増減をもつことになるかと。その時点の在庫をもつのでもあり。両方でもよいし。
一日に同じ商品をなんども入出庫すると、主キーをどうするかというのもでてくる。
主キーなしにしても良いし、同一日のデータに何らかの連番を持たせて主キーにしてしまっても良いと思っている。</t>
    <rPh sb="0" eb="3">
      <t>ニュウシュッコ</t>
    </rPh>
    <rPh sb="4" eb="6">
      <t>トウロク</t>
    </rPh>
    <rPh sb="17" eb="18">
      <t>アラ</t>
    </rPh>
    <rPh sb="20" eb="22">
      <t>ヒツヨウ</t>
    </rPh>
    <rPh sb="26" eb="28">
      <t>ザイコ</t>
    </rPh>
    <rPh sb="29" eb="31">
      <t>カンリ</t>
    </rPh>
    <rPh sb="39" eb="41">
      <t>ショウヒン</t>
    </rPh>
    <rPh sb="45" eb="46">
      <t>ヒ</t>
    </rPh>
    <rPh sb="49" eb="51">
      <t>ザイコ</t>
    </rPh>
    <rPh sb="52" eb="54">
      <t>ゾウゲン</t>
    </rPh>
    <rPh sb="67" eb="69">
      <t>ジテン</t>
    </rPh>
    <rPh sb="70" eb="72">
      <t>ザイコ</t>
    </rPh>
    <rPh sb="81" eb="83">
      <t>リョウホウ</t>
    </rPh>
    <rPh sb="90" eb="92">
      <t>イチニチ</t>
    </rPh>
    <rPh sb="93" eb="94">
      <t>オナ</t>
    </rPh>
    <rPh sb="95" eb="97">
      <t>ショウヒン</t>
    </rPh>
    <rPh sb="102" eb="105">
      <t>ニュウシュッコ</t>
    </rPh>
    <rPh sb="109" eb="110">
      <t>シュ</t>
    </rPh>
    <rPh sb="129" eb="130">
      <t>シュ</t>
    </rPh>
    <rPh sb="138" eb="139">
      <t>ヨ</t>
    </rPh>
    <rPh sb="142" eb="144">
      <t>ドウイツ</t>
    </rPh>
    <rPh sb="144" eb="145">
      <t>ビ</t>
    </rPh>
    <rPh sb="150" eb="151">
      <t>ナン</t>
    </rPh>
    <rPh sb="154" eb="156">
      <t>レンバン</t>
    </rPh>
    <rPh sb="157" eb="158">
      <t>モ</t>
    </rPh>
    <rPh sb="161" eb="162">
      <t>シュ</t>
    </rPh>
    <rPh sb="172" eb="173">
      <t>ヨ</t>
    </rPh>
    <rPh sb="175" eb="176">
      <t>オモ</t>
    </rPh>
    <phoneticPr fontId="1"/>
  </si>
  <si>
    <t>あ</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</si>
</sst>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2">
    <font>
      <sz val="11"/>
      <color theme="1"/>
      <name val="Yu Gothic"/>
      <family val="2"/>
      <scheme val="minor"/>
    </font>
    <font>
      <sz val="6"/>
      <name val="Yu Gothic"/>
      <family val="3"/>
      <charset val="128"/>
      <scheme val="minor"/>
    </font>
    <font>
      <u/>
      <sz val="11"/>
      <color theme="10"/>
      <name val="Yu Gothic"/>
      <family val="2"/>
      <scheme val="minor"/>
    </font>
    <font>
      <sz val="9"/>
      <color theme="1"/>
      <name val="ＭＳ Ｐゴシック"/>
      <family val="3"/>
      <charset val="128"/>
    </font>
    <font>
      <b/>
      <sz val="9"/>
      <color theme="1"/>
      <name val="ＭＳ Ｐゴシック"/>
      <family val="3"/>
      <charset val="128"/>
    </font>
    <font>
      <b/>
      <sz val="11"/>
      <color rgb="FF000000"/>
      <name val="Yu Gothic"/>
      <family val="3"/>
      <charset val="128"/>
      <scheme val="minor"/>
    </font>
    <font>
      <sz val="11"/>
      <color rgb="FF7F878F"/>
      <name val="Yu Gothic"/>
      <family val="3"/>
      <charset val="128"/>
      <scheme val="minor"/>
    </font>
    <font>
      <sz val="10"/>
      <color rgb="FF000000"/>
      <name val="Arial"/>
      <family val="2"/>
    </font>
    <font>
      <sz val="10"/>
      <color theme="1"/>
      <name val="Arial"/>
      <family val="2"/>
    </font>
    <font>
      <sz val="9"/>
      <color rgb="FFFF0000"/>
      <name val="ＭＳ Ｐゴシック"/>
      <family val="3"/>
      <charset val="128"/>
    </font>
    <font>
      <strike/>
      <sz val="9"/>
      <color theme="1"/>
      <name val="ＭＳ Ｐゴシック"/>
      <family val="3"/>
      <charset val="128"/>
    </font>
    <font>
      <b/>
      <sz val="9"/>
      <color rgb="FFFF0000"/>
      <name val="ＭＳ Ｐゴシック"/>
      <family val="3"/>
      <charset val="128"/>
    </font>
  </fonts>
  <fills count="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87E7AD"/>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style="medium">
        <color rgb="FF000000"/>
      </left>
      <right/>
      <top/>
      <bottom/>
      <diagonal/>
    </border>
    <border>
      <left/>
      <right style="thin">
        <color indexed="64"/>
      </right>
      <top/>
      <bottom/>
      <diagonal/>
    </border>
  </borders>
  <cellStyleXfs count="2">
    <xf numFmtId="0" fontId="0" fillId="0" borderId="0"/>
    <xf numFmtId="0" fontId="2" fillId="0" borderId="0" applyNumberFormat="0" applyFill="0" applyBorder="0" applyAlignment="0" applyProtection="0"/>
  </cellStyleXfs>
  <cellXfs count="51">
    <xf numFmtId="0" fontId="0" fillId="0" borderId="0" xfId="0"/>
    <xf numFmtId="0" fontId="3" fillId="2" borderId="1" xfId="0" applyFont="1" applyFill="1" applyBorder="1" applyAlignment="1">
      <alignment horizontal="center" vertical="center"/>
    </xf>
    <xf numFmtId="0" fontId="3" fillId="0" borderId="0" xfId="0" applyFont="1"/>
    <xf numFmtId="0" fontId="3" fillId="0" borderId="1" xfId="0" applyFont="1" applyBorder="1" applyAlignment="1">
      <alignment vertical="top"/>
    </xf>
    <xf numFmtId="0" fontId="3" fillId="0" borderId="1" xfId="0" applyFont="1" applyBorder="1" applyAlignment="1">
      <alignment vertical="top" wrapText="1"/>
    </xf>
    <xf numFmtId="0" fontId="3" fillId="0" borderId="1" xfId="1" applyFont="1" applyFill="1" applyBorder="1" applyAlignment="1">
      <alignment horizontal="left" vertical="top" wrapText="1"/>
    </xf>
    <xf numFmtId="0" fontId="3" fillId="0" borderId="1" xfId="0" applyFont="1" applyBorder="1"/>
    <xf numFmtId="0" fontId="3" fillId="0" borderId="1" xfId="1" applyFont="1" applyBorder="1" applyAlignment="1">
      <alignment horizontal="left" vertical="top" wrapText="1"/>
    </xf>
    <xf numFmtId="0" fontId="3" fillId="0" borderId="1" xfId="0" applyFont="1" applyBorder="1" applyAlignment="1">
      <alignment horizontal="left" vertical="top" wrapText="1"/>
    </xf>
    <xf numFmtId="0" fontId="3" fillId="2" borderId="1" xfId="0" applyFont="1" applyFill="1" applyBorder="1"/>
    <xf numFmtId="0" fontId="4" fillId="0" borderId="0" xfId="0" applyFont="1"/>
    <xf numFmtId="0" fontId="3" fillId="2" borderId="1" xfId="0" applyFont="1" applyFill="1" applyBorder="1" applyAlignment="1">
      <alignment vertical="center"/>
    </xf>
    <xf numFmtId="0" fontId="4" fillId="0" borderId="1" xfId="0" applyFont="1" applyBorder="1" applyAlignment="1">
      <alignment horizontal="right"/>
    </xf>
    <xf numFmtId="0" fontId="3" fillId="3" borderId="0" xfId="0" applyFont="1" applyFill="1"/>
    <xf numFmtId="0" fontId="3" fillId="0" borderId="1" xfId="1" applyFont="1" applyBorder="1" applyAlignment="1">
      <alignment vertical="top" wrapText="1"/>
    </xf>
    <xf numFmtId="0" fontId="3" fillId="0" borderId="2" xfId="0" applyFont="1" applyBorder="1" applyAlignment="1">
      <alignment vertical="top" wrapText="1"/>
    </xf>
    <xf numFmtId="0" fontId="3" fillId="0" borderId="2" xfId="0" applyFont="1" applyBorder="1"/>
    <xf numFmtId="0" fontId="3" fillId="0" borderId="0" xfId="0" applyFont="1" applyAlignment="1">
      <alignment wrapText="1"/>
    </xf>
    <xf numFmtId="0" fontId="0" fillId="0" borderId="0" xfId="0" applyAlignment="1">
      <alignment horizontal="right"/>
    </xf>
    <xf numFmtId="0" fontId="3" fillId="0" borderId="1" xfId="1" applyFont="1" applyBorder="1"/>
    <xf numFmtId="0" fontId="3" fillId="0" borderId="1" xfId="0" quotePrefix="1" applyFont="1" applyBorder="1" applyAlignment="1">
      <alignment horizontal="left" vertical="top" wrapText="1"/>
    </xf>
    <xf numFmtId="22" fontId="3" fillId="0" borderId="1" xfId="0" applyNumberFormat="1" applyFont="1" applyBorder="1" applyAlignment="1">
      <alignment wrapText="1"/>
    </xf>
    <xf numFmtId="49" fontId="5" fillId="4" borderId="5" xfId="0" applyNumberFormat="1" applyFont="1" applyFill="1" applyBorder="1" applyAlignment="1">
      <alignment horizontal="left" vertical="center" wrapText="1"/>
    </xf>
    <xf numFmtId="1" fontId="0" fillId="0" borderId="5" xfId="0" applyNumberFormat="1" applyBorder="1" applyAlignment="1">
      <alignment horizontal="right" vertical="center"/>
    </xf>
    <xf numFmtId="176" fontId="0" fillId="0" borderId="5" xfId="0" applyNumberFormat="1" applyBorder="1" applyAlignment="1">
      <alignment horizontal="right" vertical="center"/>
    </xf>
    <xf numFmtId="49" fontId="0" fillId="0" borderId="5" xfId="0" applyNumberFormat="1" applyBorder="1" applyAlignment="1">
      <alignment vertical="center"/>
    </xf>
    <xf numFmtId="0" fontId="6" fillId="0" borderId="5" xfId="0" applyFont="1" applyBorder="1" applyAlignment="1">
      <alignment vertical="center"/>
    </xf>
    <xf numFmtId="14" fontId="0" fillId="0" borderId="0" xfId="0" applyNumberFormat="1"/>
    <xf numFmtId="0" fontId="7" fillId="5" borderId="0" xfId="0" applyFont="1" applyFill="1" applyAlignment="1">
      <alignment horizontal="left" vertical="center" indent="1"/>
    </xf>
    <xf numFmtId="0" fontId="7" fillId="5" borderId="6" xfId="0" applyFont="1" applyFill="1" applyBorder="1" applyAlignment="1">
      <alignment horizontal="left" vertical="center"/>
    </xf>
    <xf numFmtId="0" fontId="7" fillId="5" borderId="6" xfId="0" applyFont="1" applyFill="1" applyBorder="1" applyAlignment="1">
      <alignment horizontal="right" vertical="center"/>
    </xf>
    <xf numFmtId="14" fontId="7" fillId="5" borderId="6" xfId="0" applyNumberFormat="1" applyFont="1" applyFill="1" applyBorder="1" applyAlignment="1">
      <alignment horizontal="right" vertical="center"/>
    </xf>
    <xf numFmtId="0" fontId="7" fillId="5" borderId="7" xfId="0" applyFont="1" applyFill="1" applyBorder="1" applyAlignment="1">
      <alignment horizontal="left" vertical="center"/>
    </xf>
    <xf numFmtId="0" fontId="7" fillId="5" borderId="7" xfId="0" applyFont="1" applyFill="1" applyBorder="1" applyAlignment="1">
      <alignment horizontal="right" vertical="center"/>
    </xf>
    <xf numFmtId="14" fontId="7" fillId="5" borderId="7" xfId="0" applyNumberFormat="1" applyFont="1" applyFill="1" applyBorder="1" applyAlignment="1">
      <alignment horizontal="right" vertical="center"/>
    </xf>
    <xf numFmtId="0" fontId="7" fillId="5" borderId="0" xfId="0" applyFont="1" applyFill="1" applyAlignment="1">
      <alignment horizontal="right" vertical="center" indent="1"/>
    </xf>
    <xf numFmtId="0" fontId="8" fillId="0" borderId="0" xfId="0" applyFont="1" applyAlignment="1">
      <alignment horizontal="right" vertical="center" indent="1"/>
    </xf>
    <xf numFmtId="0" fontId="8" fillId="0" borderId="6" xfId="0" applyFont="1" applyBorder="1" applyAlignment="1">
      <alignment horizontal="left" vertical="center"/>
    </xf>
    <xf numFmtId="0" fontId="8" fillId="0" borderId="7" xfId="0" applyFont="1" applyBorder="1" applyAlignment="1">
      <alignment horizontal="left" vertical="center"/>
    </xf>
    <xf numFmtId="0" fontId="3" fillId="0" borderId="2" xfId="0" applyFont="1" applyBorder="1" applyAlignment="1">
      <alignment horizontal="left" vertical="top" wrapText="1"/>
    </xf>
    <xf numFmtId="0" fontId="3" fillId="0" borderId="8" xfId="1" applyFont="1" applyBorder="1" applyAlignment="1">
      <alignment wrapText="1"/>
    </xf>
    <xf numFmtId="0" fontId="3" fillId="0" borderId="8" xfId="1" applyFont="1" applyBorder="1" applyAlignment="1">
      <alignment horizontal="left" vertical="top" wrapText="1"/>
    </xf>
    <xf numFmtId="0" fontId="3" fillId="0" borderId="8" xfId="1" applyFont="1" applyBorder="1" applyAlignment="1">
      <alignment vertical="top" wrapText="1"/>
    </xf>
    <xf numFmtId="0" fontId="2" fillId="0" borderId="0" xfId="1"/>
    <xf numFmtId="0" fontId="3" fillId="0" borderId="0" xfId="0" applyFont="1" applyAlignment="1">
      <alignment horizontal="left" vertical="top" wrapText="1"/>
    </xf>
    <xf numFmtId="0" fontId="3" fillId="0" borderId="2" xfId="0" applyFont="1" applyBorder="1" applyAlignment="1">
      <alignment horizontal="right" vertical="top"/>
    </xf>
    <xf numFmtId="0" fontId="3" fillId="0" borderId="3" xfId="0" applyFont="1" applyBorder="1" applyAlignment="1">
      <alignment horizontal="right" vertical="top"/>
    </xf>
    <xf numFmtId="0" fontId="3" fillId="0" borderId="4" xfId="0" applyFont="1" applyBorder="1" applyAlignment="1">
      <alignment horizontal="right" vertical="top"/>
    </xf>
    <xf numFmtId="0" fontId="3" fillId="0" borderId="2" xfId="0" applyFont="1" applyBorder="1" applyAlignment="1">
      <alignment horizontal="left" vertical="top"/>
    </xf>
    <xf numFmtId="0" fontId="3" fillId="0" borderId="3" xfId="0" applyFont="1" applyBorder="1" applyAlignment="1">
      <alignment horizontal="left" vertical="top"/>
    </xf>
    <xf numFmtId="0" fontId="3" fillId="0" borderId="4" xfId="0" applyFont="1" applyBorder="1" applyAlignment="1">
      <alignment horizontal="left" vertical="top"/>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itsakura.com/java-floor" TargetMode="External"/><Relationship Id="rId3" Type="http://schemas.openxmlformats.org/officeDocument/2006/relationships/hyperlink" Target="https://qiita.com/startPG/items/29fa23e9fa1e7c929dbf" TargetMode="External"/><Relationship Id="rId7" Type="http://schemas.openxmlformats.org/officeDocument/2006/relationships/hyperlink" Target="https://qiita.com/YujiSoftware/items/5975c0a93f5e58f6b9cf" TargetMode="External"/><Relationship Id="rId12" Type="http://schemas.openxmlformats.org/officeDocument/2006/relationships/printerSettings" Target="../printerSettings/printerSettings1.bin"/><Relationship Id="rId2" Type="http://schemas.openxmlformats.org/officeDocument/2006/relationships/hyperlink" Target="https://qiita.com/s_hino/items/0e3234b8feefe2d14315" TargetMode="External"/><Relationship Id="rId1" Type="http://schemas.openxmlformats.org/officeDocument/2006/relationships/hyperlink" Target="https://star-school.jp/java/110" TargetMode="External"/><Relationship Id="rId6" Type="http://schemas.openxmlformats.org/officeDocument/2006/relationships/hyperlink" Target="https://qiita.com/yasushi-jp/items/125f362e51ed0ff41069" TargetMode="External"/><Relationship Id="rId11" Type="http://schemas.openxmlformats.org/officeDocument/2006/relationships/hyperlink" Target="https://qiita.com/usamaro/items/83de0d8733561661dd5b" TargetMode="External"/><Relationship Id="rId5" Type="http://schemas.openxmlformats.org/officeDocument/2006/relationships/hyperlink" Target="https://qiita.com/yuma_nakagome/items/cd076e30cb8951f92c17" TargetMode="External"/><Relationship Id="rId10" Type="http://schemas.openxmlformats.org/officeDocument/2006/relationships/hyperlink" Target="https://qiita.com/git2024/items/0af362eb6b1700177202" TargetMode="External"/><Relationship Id="rId4" Type="http://schemas.openxmlformats.org/officeDocument/2006/relationships/hyperlink" Target="https://qiita.com/yasushi-jp/items/125f362e51ed0ff41069" TargetMode="External"/><Relationship Id="rId9" Type="http://schemas.openxmlformats.org/officeDocument/2006/relationships/hyperlink" Target="https://qiita.com/sponge841841/items/e06b8708fa9c8aaefc1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3:D15"/>
  <sheetViews>
    <sheetView workbookViewId="0">
      <selection activeCell="D5" sqref="D5"/>
    </sheetView>
  </sheetViews>
  <sheetFormatPr defaultRowHeight="18"/>
  <sheetData>
    <row r="3" spans="2:4">
      <c r="B3" t="s">
        <v>0</v>
      </c>
      <c r="C3">
        <v>1</v>
      </c>
      <c r="D3" t="s">
        <v>7</v>
      </c>
    </row>
    <row r="4" spans="2:4">
      <c r="C4">
        <v>2</v>
      </c>
      <c r="D4" t="s">
        <v>8</v>
      </c>
    </row>
    <row r="5" spans="2:4">
      <c r="C5">
        <v>3</v>
      </c>
    </row>
    <row r="8" spans="2:4">
      <c r="D8" t="s">
        <v>2</v>
      </c>
    </row>
    <row r="9" spans="2:4">
      <c r="D9" t="s">
        <v>3</v>
      </c>
    </row>
    <row r="10" spans="2:4">
      <c r="D10" t="s">
        <v>4</v>
      </c>
    </row>
    <row r="12" spans="2:4">
      <c r="B12" t="s">
        <v>5</v>
      </c>
      <c r="D12" t="s">
        <v>6</v>
      </c>
    </row>
    <row r="15" spans="2:4">
      <c r="B15" t="s">
        <v>1</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AE80B-53E5-411B-8560-31D8ACCE1F4C}">
  <sheetPr codeName="Sheet2">
    <pageSetUpPr fitToPage="1"/>
  </sheetPr>
  <dimension ref="A1:L35"/>
  <sheetViews>
    <sheetView tabSelected="1" zoomScaleNormal="100" workbookViewId="0">
      <selection activeCell="A2" sqref="A2"/>
    </sheetView>
  </sheetViews>
  <sheetFormatPr defaultColWidth="9" defaultRowHeight="10.8"/>
  <cols>
    <col min="1" max="1" width="1.5" style="2" customWidth="1"/>
    <col min="2" max="2" width="4.09765625" style="2" customWidth="1"/>
    <col min="3" max="3" width="5.59765625" style="2" customWidth="1"/>
    <col min="4" max="4" width="19.69921875" style="2" customWidth="1"/>
    <col min="5" max="5" width="69.59765625" style="2" customWidth="1"/>
    <col min="6" max="6" width="32.19921875" style="2" customWidth="1"/>
    <col min="7" max="7" width="22.09765625" style="2" customWidth="1"/>
    <col min="8" max="8" width="17.3984375" style="2" hidden="1" customWidth="1"/>
    <col min="9" max="16384" width="9" style="2"/>
  </cols>
  <sheetData>
    <row r="1" spans="1:9">
      <c r="A1" s="2" t="s">
        <v>228</v>
      </c>
    </row>
    <row r="2" spans="1:9">
      <c r="B2" s="2" t="s">
        <v>23</v>
      </c>
      <c r="H2" s="11" t="s">
        <v>35</v>
      </c>
    </row>
    <row r="3" spans="1:9">
      <c r="B3" s="2" t="s">
        <v>83</v>
      </c>
      <c r="F3" s="2" t="s">
        <v>133</v>
      </c>
      <c r="H3" s="12" t="str">
        <f>H12+H35 &amp; "分"</f>
        <v>470分</v>
      </c>
    </row>
    <row r="4" spans="1:9">
      <c r="B4" s="2" t="s">
        <v>31</v>
      </c>
    </row>
    <row r="5" spans="1:9">
      <c r="B5" s="1" t="s">
        <v>10</v>
      </c>
      <c r="C5" s="1" t="s">
        <v>43</v>
      </c>
      <c r="D5" s="1" t="s">
        <v>14</v>
      </c>
      <c r="E5" s="1" t="s">
        <v>13</v>
      </c>
      <c r="F5" s="1" t="s">
        <v>11</v>
      </c>
      <c r="G5" s="1" t="s">
        <v>16</v>
      </c>
      <c r="H5" s="9" t="s">
        <v>34</v>
      </c>
    </row>
    <row r="6" spans="1:9" ht="31.5" customHeight="1">
      <c r="B6" s="45">
        <v>1</v>
      </c>
      <c r="C6" s="48" t="s">
        <v>44</v>
      </c>
      <c r="D6" s="4" t="s">
        <v>15</v>
      </c>
      <c r="E6" s="4" t="s">
        <v>136</v>
      </c>
      <c r="F6" s="20" t="s">
        <v>12</v>
      </c>
      <c r="G6" s="5" t="s">
        <v>17</v>
      </c>
      <c r="H6" s="6">
        <v>20</v>
      </c>
    </row>
    <row r="7" spans="1:9" ht="31.5" customHeight="1">
      <c r="B7" s="46"/>
      <c r="C7" s="49"/>
      <c r="D7" s="4" t="s">
        <v>130</v>
      </c>
      <c r="E7" s="4" t="s">
        <v>137</v>
      </c>
      <c r="F7" s="8" t="s">
        <v>131</v>
      </c>
      <c r="G7" s="5"/>
      <c r="H7" s="6"/>
    </row>
    <row r="8" spans="1:9" ht="31.5" customHeight="1">
      <c r="B8" s="47"/>
      <c r="C8" s="50"/>
      <c r="D8" s="4" t="s">
        <v>132</v>
      </c>
      <c r="E8" s="4" t="s">
        <v>135</v>
      </c>
      <c r="F8" s="8" t="s">
        <v>134</v>
      </c>
      <c r="G8" s="5" t="s">
        <v>138</v>
      </c>
      <c r="H8" s="6"/>
    </row>
    <row r="9" spans="1:9" ht="29.25" customHeight="1">
      <c r="B9" s="3">
        <v>2</v>
      </c>
      <c r="C9" s="3" t="s">
        <v>44</v>
      </c>
      <c r="D9" s="4" t="s">
        <v>8</v>
      </c>
      <c r="E9" s="4" t="s">
        <v>85</v>
      </c>
      <c r="F9" s="4" t="s">
        <v>22</v>
      </c>
      <c r="G9" s="7" t="s">
        <v>20</v>
      </c>
      <c r="H9" s="6">
        <v>20</v>
      </c>
    </row>
    <row r="10" spans="1:9" ht="75" customHeight="1">
      <c r="B10" s="3">
        <v>3</v>
      </c>
      <c r="C10" s="3" t="s">
        <v>44</v>
      </c>
      <c r="D10" s="4" t="s">
        <v>9</v>
      </c>
      <c r="E10" s="4" t="s">
        <v>18</v>
      </c>
      <c r="F10" s="4" t="s">
        <v>124</v>
      </c>
      <c r="G10" s="7" t="s">
        <v>19</v>
      </c>
      <c r="H10" s="6">
        <v>30</v>
      </c>
    </row>
    <row r="11" spans="1:9" ht="48.75" customHeight="1">
      <c r="B11" s="3">
        <v>4</v>
      </c>
      <c r="C11" s="3" t="s">
        <v>139</v>
      </c>
      <c r="D11" s="3" t="s">
        <v>21</v>
      </c>
      <c r="E11" s="4" t="s">
        <v>24</v>
      </c>
      <c r="F11" s="4" t="s">
        <v>82</v>
      </c>
      <c r="G11" s="6"/>
      <c r="H11" s="6"/>
    </row>
    <row r="12" spans="1:9">
      <c r="H12" s="10">
        <f>SUM(H6:H11)</f>
        <v>70</v>
      </c>
    </row>
    <row r="13" spans="1:9">
      <c r="B13" s="2" t="s">
        <v>26</v>
      </c>
    </row>
    <row r="14" spans="1:9">
      <c r="B14" s="1" t="s">
        <v>10</v>
      </c>
      <c r="C14" s="1" t="s">
        <v>43</v>
      </c>
      <c r="D14" s="1" t="s">
        <v>25</v>
      </c>
      <c r="E14" s="1" t="s">
        <v>13</v>
      </c>
      <c r="F14" s="1" t="s">
        <v>11</v>
      </c>
      <c r="G14" s="1" t="s">
        <v>16</v>
      </c>
      <c r="H14" s="9" t="s">
        <v>145</v>
      </c>
    </row>
    <row r="15" spans="1:9" ht="32.4">
      <c r="B15" s="3">
        <v>1</v>
      </c>
      <c r="C15" s="3" t="s">
        <v>45</v>
      </c>
      <c r="D15" s="4" t="s">
        <v>52</v>
      </c>
      <c r="E15" s="4" t="s">
        <v>27</v>
      </c>
      <c r="F15" s="4"/>
      <c r="G15" s="40" t="s">
        <v>36</v>
      </c>
      <c r="H15" s="6"/>
    </row>
    <row r="16" spans="1:9" ht="66" customHeight="1">
      <c r="B16" s="3">
        <f>B15+1</f>
        <v>2</v>
      </c>
      <c r="C16" s="3" t="s">
        <v>45</v>
      </c>
      <c r="D16" s="4" t="s">
        <v>53</v>
      </c>
      <c r="E16" s="4" t="s">
        <v>51</v>
      </c>
      <c r="F16" s="4"/>
      <c r="G16" s="44" t="s">
        <v>219</v>
      </c>
      <c r="H16" s="6"/>
      <c r="I16" s="43"/>
    </row>
    <row r="17" spans="2:10" ht="129" customHeight="1">
      <c r="B17" s="3">
        <f t="shared" ref="B17:B31" si="0">B16+1</f>
        <v>3</v>
      </c>
      <c r="C17" s="3" t="s">
        <v>0</v>
      </c>
      <c r="D17" s="4" t="s">
        <v>55</v>
      </c>
      <c r="E17" s="4" t="s">
        <v>54</v>
      </c>
      <c r="F17" s="4" t="s">
        <v>81</v>
      </c>
      <c r="G17" s="4" t="s">
        <v>28</v>
      </c>
      <c r="H17" s="6"/>
    </row>
    <row r="18" spans="2:10" ht="128.25" customHeight="1">
      <c r="B18" s="3">
        <f t="shared" si="0"/>
        <v>4</v>
      </c>
      <c r="C18" s="3" t="s">
        <v>0</v>
      </c>
      <c r="D18" s="4" t="s">
        <v>56</v>
      </c>
      <c r="E18" s="4" t="s">
        <v>58</v>
      </c>
      <c r="F18" s="4" t="s">
        <v>63</v>
      </c>
      <c r="G18" s="4"/>
      <c r="H18" s="21" t="s">
        <v>146</v>
      </c>
    </row>
    <row r="19" spans="2:10" ht="126.75" customHeight="1">
      <c r="B19" s="3">
        <f t="shared" si="0"/>
        <v>5</v>
      </c>
      <c r="C19" s="3" t="s">
        <v>45</v>
      </c>
      <c r="D19" s="4" t="s">
        <v>57</v>
      </c>
      <c r="E19" s="4" t="s">
        <v>59</v>
      </c>
      <c r="F19" s="4" t="s">
        <v>64</v>
      </c>
      <c r="G19" s="14" t="s">
        <v>60</v>
      </c>
      <c r="H19" s="6" t="s">
        <v>147</v>
      </c>
    </row>
    <row r="20" spans="2:10" ht="85.5" customHeight="1">
      <c r="B20" s="3">
        <f t="shared" si="0"/>
        <v>6</v>
      </c>
      <c r="C20" s="3" t="s">
        <v>45</v>
      </c>
      <c r="D20" s="4" t="s">
        <v>61</v>
      </c>
      <c r="E20" s="4" t="s">
        <v>68</v>
      </c>
      <c r="F20" s="4" t="s">
        <v>65</v>
      </c>
      <c r="G20" s="5" t="s">
        <v>62</v>
      </c>
      <c r="H20" s="6" t="s">
        <v>148</v>
      </c>
    </row>
    <row r="21" spans="2:10" ht="127.5" customHeight="1">
      <c r="B21" s="3">
        <f t="shared" si="0"/>
        <v>7</v>
      </c>
      <c r="C21" s="3" t="s">
        <v>0</v>
      </c>
      <c r="D21" s="4" t="s">
        <v>69</v>
      </c>
      <c r="E21" s="4" t="s">
        <v>215</v>
      </c>
      <c r="F21" s="4" t="s">
        <v>70</v>
      </c>
      <c r="G21" s="41" t="s">
        <v>71</v>
      </c>
      <c r="H21" s="6" t="s">
        <v>149</v>
      </c>
    </row>
    <row r="22" spans="2:10" ht="100.5" customHeight="1">
      <c r="B22" s="3">
        <f t="shared" si="0"/>
        <v>8</v>
      </c>
      <c r="C22" s="3" t="s">
        <v>45</v>
      </c>
      <c r="D22" s="4" t="s">
        <v>72</v>
      </c>
      <c r="E22" s="4" t="s">
        <v>84</v>
      </c>
      <c r="F22" s="4" t="s">
        <v>100</v>
      </c>
      <c r="G22" s="7"/>
      <c r="H22" s="6" t="s">
        <v>150</v>
      </c>
    </row>
    <row r="23" spans="2:10" ht="131.25" customHeight="1">
      <c r="B23" s="3">
        <f t="shared" si="0"/>
        <v>9</v>
      </c>
      <c r="C23" s="3" t="s">
        <v>0</v>
      </c>
      <c r="D23" s="4" t="s">
        <v>74</v>
      </c>
      <c r="E23" s="4" t="s">
        <v>212</v>
      </c>
      <c r="F23" s="4" t="s">
        <v>73</v>
      </c>
      <c r="G23" s="7" t="s">
        <v>29</v>
      </c>
      <c r="H23" s="21" t="s">
        <v>206</v>
      </c>
    </row>
    <row r="24" spans="2:10" ht="55.5" customHeight="1">
      <c r="B24" s="3">
        <f t="shared" si="0"/>
        <v>10</v>
      </c>
      <c r="C24" s="3" t="s">
        <v>45</v>
      </c>
      <c r="D24" s="4" t="s">
        <v>76</v>
      </c>
      <c r="E24" s="4" t="s">
        <v>213</v>
      </c>
      <c r="F24" s="4" t="s">
        <v>77</v>
      </c>
      <c r="G24" s="7" t="s">
        <v>30</v>
      </c>
      <c r="H24" s="6" t="s">
        <v>208</v>
      </c>
    </row>
    <row r="25" spans="2:10" ht="55.5" customHeight="1">
      <c r="B25" s="3">
        <f t="shared" si="0"/>
        <v>11</v>
      </c>
      <c r="C25" s="3" t="s">
        <v>45</v>
      </c>
      <c r="D25" s="4" t="s">
        <v>75</v>
      </c>
      <c r="E25" s="4" t="s">
        <v>214</v>
      </c>
      <c r="F25" s="4" t="s">
        <v>78</v>
      </c>
      <c r="G25" s="7" t="s">
        <v>30</v>
      </c>
      <c r="H25" s="6" t="s">
        <v>207</v>
      </c>
      <c r="J25" s="13">
        <f>SUM(H15:H25)+H12</f>
        <v>70</v>
      </c>
    </row>
    <row r="26" spans="2:10" ht="112.5" customHeight="1">
      <c r="B26" s="3">
        <f t="shared" si="0"/>
        <v>12</v>
      </c>
      <c r="C26" s="3" t="s">
        <v>45</v>
      </c>
      <c r="D26" s="4" t="s">
        <v>79</v>
      </c>
      <c r="E26" s="4" t="s">
        <v>32</v>
      </c>
      <c r="F26" s="8" t="s">
        <v>66</v>
      </c>
      <c r="G26" s="7" t="s">
        <v>33</v>
      </c>
      <c r="H26" s="6" t="s">
        <v>209</v>
      </c>
    </row>
    <row r="27" spans="2:10" ht="39.75" customHeight="1">
      <c r="B27" s="3">
        <f t="shared" si="0"/>
        <v>13</v>
      </c>
      <c r="C27" s="3" t="s">
        <v>45</v>
      </c>
      <c r="D27" s="4" t="s">
        <v>37</v>
      </c>
      <c r="E27" s="4" t="s">
        <v>80</v>
      </c>
      <c r="F27" s="8"/>
      <c r="G27" s="7"/>
      <c r="H27" s="6" t="s">
        <v>210</v>
      </c>
    </row>
    <row r="28" spans="2:10" ht="130.5" customHeight="1">
      <c r="B28" s="3">
        <f t="shared" si="0"/>
        <v>14</v>
      </c>
      <c r="C28" s="4" t="s">
        <v>46</v>
      </c>
      <c r="D28" s="4" t="s">
        <v>40</v>
      </c>
      <c r="E28" s="4" t="s">
        <v>39</v>
      </c>
      <c r="F28" s="8" t="s">
        <v>67</v>
      </c>
      <c r="G28" s="7" t="s">
        <v>218</v>
      </c>
      <c r="H28" s="6" t="s">
        <v>211</v>
      </c>
      <c r="J28" s="10" t="s">
        <v>38</v>
      </c>
    </row>
    <row r="29" spans="2:10" ht="70.5" customHeight="1">
      <c r="B29" s="3">
        <f t="shared" si="0"/>
        <v>15</v>
      </c>
      <c r="C29" s="4" t="s">
        <v>46</v>
      </c>
      <c r="D29" s="4" t="s">
        <v>41</v>
      </c>
      <c r="E29" s="4" t="s">
        <v>220</v>
      </c>
      <c r="F29" s="8" t="s">
        <v>225</v>
      </c>
      <c r="G29" s="7" t="s">
        <v>42</v>
      </c>
      <c r="H29" s="6">
        <v>60</v>
      </c>
      <c r="J29" s="13">
        <f>SUM(H26:H33)</f>
        <v>250</v>
      </c>
    </row>
    <row r="30" spans="2:10" ht="70.5" customHeight="1">
      <c r="B30" s="3">
        <f t="shared" si="0"/>
        <v>16</v>
      </c>
      <c r="C30" s="4" t="s">
        <v>46</v>
      </c>
      <c r="D30" s="4" t="s">
        <v>47</v>
      </c>
      <c r="E30" s="4" t="s">
        <v>221</v>
      </c>
      <c r="F30" s="8" t="s">
        <v>223</v>
      </c>
      <c r="G30" s="7" t="s">
        <v>48</v>
      </c>
      <c r="H30" s="6">
        <v>40</v>
      </c>
    </row>
    <row r="31" spans="2:10" ht="70.5" customHeight="1">
      <c r="B31" s="3">
        <f t="shared" si="0"/>
        <v>17</v>
      </c>
      <c r="C31" s="4" t="s">
        <v>46</v>
      </c>
      <c r="D31" s="4" t="s">
        <v>50</v>
      </c>
      <c r="E31" s="4" t="s">
        <v>222</v>
      </c>
      <c r="F31" s="8" t="s">
        <v>224</v>
      </c>
      <c r="G31" s="7" t="s">
        <v>49</v>
      </c>
      <c r="H31" s="6">
        <v>30</v>
      </c>
    </row>
    <row r="32" spans="2:10" ht="121.5" customHeight="1">
      <c r="B32" s="3">
        <v>18</v>
      </c>
      <c r="C32" s="4" t="s">
        <v>46</v>
      </c>
      <c r="D32" s="4" t="s">
        <v>216</v>
      </c>
      <c r="E32" s="4" t="s">
        <v>226</v>
      </c>
      <c r="F32" s="39" t="s">
        <v>227</v>
      </c>
      <c r="G32" s="41"/>
      <c r="H32" s="16"/>
    </row>
    <row r="33" spans="2:12" ht="116.25" customHeight="1">
      <c r="B33" s="3">
        <v>19</v>
      </c>
      <c r="C33" s="4" t="s">
        <v>5</v>
      </c>
      <c r="D33" s="4" t="s">
        <v>127</v>
      </c>
      <c r="E33" s="4" t="s">
        <v>88</v>
      </c>
      <c r="F33" s="15" t="s">
        <v>126</v>
      </c>
      <c r="G33" s="42" t="s">
        <v>86</v>
      </c>
      <c r="H33" s="16">
        <v>120</v>
      </c>
      <c r="L33" s="17" t="s">
        <v>87</v>
      </c>
    </row>
    <row r="34" spans="2:12" ht="99.75" customHeight="1">
      <c r="B34" s="3">
        <v>20</v>
      </c>
      <c r="C34" s="4" t="s">
        <v>5</v>
      </c>
      <c r="D34" s="4" t="s">
        <v>128</v>
      </c>
      <c r="E34" s="4" t="s">
        <v>217</v>
      </c>
      <c r="F34" s="4" t="s">
        <v>129</v>
      </c>
      <c r="G34" s="19"/>
      <c r="H34" s="6">
        <v>150</v>
      </c>
    </row>
    <row r="35" spans="2:12">
      <c r="H35" s="2">
        <f>SUM(H15:H34)</f>
        <v>400</v>
      </c>
    </row>
  </sheetData>
  <mergeCells count="2">
    <mergeCell ref="B6:B8"/>
    <mergeCell ref="C6:C8"/>
  </mergeCells>
  <phoneticPr fontId="1"/>
  <hyperlinks>
    <hyperlink ref="G6" r:id="rId1" xr:uid="{C7EFBB95-D226-4B01-9B8B-F700EAF6E8D7}"/>
    <hyperlink ref="G10" r:id="rId2" display="https://qiita.com/s_hino/items/0e3234b8feefe2d14315" xr:uid="{FAC054DB-8E63-40E9-A77B-ADAD920BC9AD}"/>
    <hyperlink ref="G9" r:id="rId3" display="https://qiita.com/startPG/items/29fa23e9fa1e7c929dbf" xr:uid="{197EAA6D-BD64-4071-86C0-BE8F5C6617CE}"/>
    <hyperlink ref="G24" r:id="rId4" display="https://qiita.com/yasushi-jp/items/125f362e51ed0ff41069" xr:uid="{CFFC825C-FE96-4AE4-B8C1-378A4E7E7C1E}"/>
    <hyperlink ref="G15" r:id="rId5" display="https://qiita.com/yuma_nakagome/items/cd076e30cb8951f92c17" xr:uid="{6ADCD771-77EE-4F28-B782-784B0CBD9221}"/>
    <hyperlink ref="G25" r:id="rId6" display="https://qiita.com/yasushi-jp/items/125f362e51ed0ff41069" xr:uid="{945F8C98-ED47-4AB3-877D-649ABDC799A4}"/>
    <hyperlink ref="G23" r:id="rId7" xr:uid="{65FF0020-4E0B-46D0-B6DC-4E2C4E9495FB}"/>
    <hyperlink ref="G19" r:id="rId8" xr:uid="{1F719503-BA3A-4F10-8BA3-E2878FEE7D56}"/>
    <hyperlink ref="G20" r:id="rId9" xr:uid="{8958D6C2-833D-452F-9272-6C43AF60CE2A}"/>
    <hyperlink ref="G21" r:id="rId10" xr:uid="{06E1A979-437E-47A1-8FEC-AB6F20A4628F}"/>
    <hyperlink ref="G33" r:id="rId11" xr:uid="{272333C4-2503-41E5-9191-9E18E1A5A220}"/>
  </hyperlinks>
  <pageMargins left="0.7" right="0.7" top="0.75" bottom="0.75" header="0.3" footer="0.3"/>
  <pageSetup paperSize="9" scale="77" fitToHeight="0" orientation="landscape"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A5114-3F2C-4D91-AFFC-A3EE2AC05F83}">
  <sheetPr codeName="Sheet3"/>
  <dimension ref="B4:I92"/>
  <sheetViews>
    <sheetView workbookViewId="0">
      <selection activeCell="I80" sqref="I80"/>
    </sheetView>
  </sheetViews>
  <sheetFormatPr defaultRowHeight="18"/>
  <cols>
    <col min="2" max="2" width="23.5" customWidth="1"/>
    <col min="3" max="3" width="19.3984375" customWidth="1"/>
    <col min="4" max="4" width="20" customWidth="1"/>
    <col min="7" max="7" width="19.19921875" customWidth="1"/>
  </cols>
  <sheetData>
    <row r="4" spans="2:9" ht="36">
      <c r="B4" s="22" t="s">
        <v>151</v>
      </c>
      <c r="C4" s="22" t="s">
        <v>152</v>
      </c>
      <c r="D4" s="22" t="s">
        <v>153</v>
      </c>
      <c r="E4" s="22" t="s">
        <v>154</v>
      </c>
      <c r="F4" s="22" t="s">
        <v>155</v>
      </c>
      <c r="G4" s="22" t="s">
        <v>156</v>
      </c>
      <c r="H4" s="22" t="s">
        <v>157</v>
      </c>
      <c r="I4" s="22" t="s">
        <v>158</v>
      </c>
    </row>
    <row r="5" spans="2:9">
      <c r="B5" s="23">
        <v>1104013023</v>
      </c>
      <c r="C5" s="24">
        <v>44075</v>
      </c>
      <c r="D5" s="25" t="s">
        <v>159</v>
      </c>
      <c r="E5" s="25" t="s">
        <v>160</v>
      </c>
      <c r="F5" s="25" t="s">
        <v>161</v>
      </c>
      <c r="G5" s="24">
        <v>44075</v>
      </c>
      <c r="H5" s="25" t="s">
        <v>162</v>
      </c>
      <c r="I5" s="26" t="s">
        <v>163</v>
      </c>
    </row>
    <row r="6" spans="2:9">
      <c r="B6" s="23">
        <v>1909013079</v>
      </c>
      <c r="C6" s="24">
        <v>44077</v>
      </c>
      <c r="D6" s="25" t="s">
        <v>164</v>
      </c>
      <c r="E6" s="25" t="s">
        <v>160</v>
      </c>
      <c r="F6" s="25" t="s">
        <v>165</v>
      </c>
      <c r="G6" s="24">
        <v>44075</v>
      </c>
      <c r="H6" s="25" t="s">
        <v>162</v>
      </c>
      <c r="I6" s="26" t="s">
        <v>163</v>
      </c>
    </row>
    <row r="7" spans="2:9">
      <c r="B7" s="23">
        <v>1909013079</v>
      </c>
      <c r="C7" s="24">
        <v>44085</v>
      </c>
      <c r="D7" s="25" t="s">
        <v>164</v>
      </c>
      <c r="E7" s="25" t="s">
        <v>160</v>
      </c>
      <c r="F7" s="25" t="s">
        <v>165</v>
      </c>
      <c r="G7" s="24">
        <v>44075</v>
      </c>
      <c r="H7" s="25" t="s">
        <v>162</v>
      </c>
      <c r="I7" s="26" t="s">
        <v>163</v>
      </c>
    </row>
    <row r="8" spans="2:9">
      <c r="B8" s="23">
        <v>11111111111</v>
      </c>
      <c r="C8" s="24">
        <v>44076</v>
      </c>
      <c r="D8" s="25" t="s">
        <v>159</v>
      </c>
      <c r="E8" s="25" t="s">
        <v>160</v>
      </c>
      <c r="F8" s="25" t="s">
        <v>161</v>
      </c>
      <c r="G8" s="24">
        <v>44076</v>
      </c>
      <c r="H8" s="25" t="s">
        <v>162</v>
      </c>
      <c r="I8" s="26" t="s">
        <v>163</v>
      </c>
    </row>
    <row r="12" spans="2:9">
      <c r="B12">
        <v>1111013025</v>
      </c>
      <c r="C12" s="27">
        <v>44130</v>
      </c>
      <c r="D12">
        <v>1</v>
      </c>
      <c r="E12">
        <v>0</v>
      </c>
      <c r="F12" t="s">
        <v>166</v>
      </c>
      <c r="G12" s="27">
        <v>44130</v>
      </c>
      <c r="H12" t="s">
        <v>162</v>
      </c>
    </row>
    <row r="17" spans="2:6" ht="18.600000000000001" thickBot="1">
      <c r="B17" s="28">
        <v>37651</v>
      </c>
      <c r="C17" s="29" t="s">
        <v>167</v>
      </c>
      <c r="D17" s="29">
        <v>1</v>
      </c>
      <c r="E17" s="30">
        <v>1341107</v>
      </c>
      <c r="F17" s="31">
        <v>45294</v>
      </c>
    </row>
    <row r="18" spans="2:6" ht="18.600000000000001" thickBot="1">
      <c r="B18" s="28">
        <v>100807</v>
      </c>
      <c r="C18" s="29" t="s">
        <v>168</v>
      </c>
      <c r="D18" s="29">
        <v>3</v>
      </c>
      <c r="E18" s="30">
        <v>10000</v>
      </c>
      <c r="F18" s="31">
        <v>44895</v>
      </c>
    </row>
    <row r="19" spans="2:6" ht="18.600000000000001" thickBot="1">
      <c r="B19" s="28">
        <v>311240</v>
      </c>
      <c r="C19" s="29" t="s">
        <v>169</v>
      </c>
      <c r="D19" s="29">
        <v>1</v>
      </c>
      <c r="E19" s="30">
        <v>63409</v>
      </c>
      <c r="F19" s="31">
        <v>45371</v>
      </c>
    </row>
    <row r="20" spans="2:6" ht="18.600000000000001" thickBot="1">
      <c r="B20" s="28">
        <v>351333</v>
      </c>
      <c r="C20" s="29" t="s">
        <v>170</v>
      </c>
      <c r="D20" s="29">
        <v>1</v>
      </c>
      <c r="E20" s="30">
        <v>367911</v>
      </c>
      <c r="F20" s="31">
        <v>45297</v>
      </c>
    </row>
    <row r="21" spans="2:6" ht="18.600000000000001" thickBot="1">
      <c r="B21" s="28">
        <v>671412</v>
      </c>
      <c r="C21" s="29" t="s">
        <v>171</v>
      </c>
      <c r="D21" s="29">
        <v>1</v>
      </c>
      <c r="E21" s="30">
        <v>678044</v>
      </c>
      <c r="F21" s="30"/>
    </row>
    <row r="22" spans="2:6" ht="18.600000000000001" thickBot="1">
      <c r="B22" s="28">
        <v>887132</v>
      </c>
      <c r="C22" s="29" t="s">
        <v>172</v>
      </c>
      <c r="D22" s="29">
        <v>1</v>
      </c>
      <c r="E22" s="30">
        <v>3491000</v>
      </c>
      <c r="F22" s="31">
        <v>45362</v>
      </c>
    </row>
    <row r="23" spans="2:6" ht="18.600000000000001" thickBot="1">
      <c r="B23" s="28">
        <v>976410</v>
      </c>
      <c r="C23" s="29" t="s">
        <v>171</v>
      </c>
      <c r="D23" s="29">
        <v>1</v>
      </c>
      <c r="E23" s="30">
        <v>9803</v>
      </c>
      <c r="F23" s="31">
        <v>44803</v>
      </c>
    </row>
    <row r="24" spans="2:6" ht="18.600000000000001" thickBot="1">
      <c r="B24" s="28">
        <v>1016840</v>
      </c>
      <c r="C24" s="29" t="s">
        <v>173</v>
      </c>
      <c r="D24" s="29">
        <v>2</v>
      </c>
      <c r="E24" s="30">
        <v>0</v>
      </c>
      <c r="F24" s="31">
        <v>45243</v>
      </c>
    </row>
    <row r="25" spans="2:6" ht="18.600000000000001" thickBot="1">
      <c r="B25" s="28">
        <v>1017119</v>
      </c>
      <c r="C25" s="29" t="s">
        <v>174</v>
      </c>
      <c r="D25" s="29">
        <v>1</v>
      </c>
      <c r="E25" s="30">
        <v>265000</v>
      </c>
      <c r="F25" s="31">
        <v>45256</v>
      </c>
    </row>
    <row r="26" spans="2:6" ht="18.600000000000001" thickBot="1">
      <c r="B26" s="28">
        <v>1046990</v>
      </c>
      <c r="C26" s="29" t="s">
        <v>175</v>
      </c>
      <c r="D26" s="29">
        <v>1</v>
      </c>
      <c r="E26" s="30">
        <v>378911</v>
      </c>
      <c r="F26" s="31">
        <v>44621</v>
      </c>
    </row>
    <row r="27" spans="2:6" ht="18.600000000000001" thickBot="1">
      <c r="B27" s="28">
        <v>1106405</v>
      </c>
      <c r="C27" s="29" t="s">
        <v>176</v>
      </c>
      <c r="D27" s="29">
        <v>2</v>
      </c>
      <c r="E27" s="30">
        <v>5310840</v>
      </c>
      <c r="F27" s="31">
        <v>45375</v>
      </c>
    </row>
    <row r="28" spans="2:6" ht="18.600000000000001" thickBot="1">
      <c r="B28" s="28">
        <v>1115600</v>
      </c>
      <c r="C28" s="29" t="s">
        <v>177</v>
      </c>
      <c r="D28" s="29">
        <v>1</v>
      </c>
      <c r="E28" s="30">
        <v>500000</v>
      </c>
      <c r="F28" s="31">
        <v>45288</v>
      </c>
    </row>
    <row r="29" spans="2:6" ht="18.600000000000001" thickBot="1">
      <c r="B29" s="28">
        <v>1170894</v>
      </c>
      <c r="C29" s="29" t="s">
        <v>171</v>
      </c>
      <c r="D29" s="29">
        <v>2</v>
      </c>
      <c r="E29" s="30">
        <v>100000</v>
      </c>
      <c r="F29" s="31">
        <v>44652</v>
      </c>
    </row>
    <row r="30" spans="2:6" ht="18.600000000000001" thickBot="1">
      <c r="B30" s="28">
        <v>1193442</v>
      </c>
      <c r="C30" s="29" t="s">
        <v>178</v>
      </c>
      <c r="D30" s="29">
        <v>1</v>
      </c>
      <c r="E30" s="30">
        <v>5325</v>
      </c>
      <c r="F30" s="31">
        <v>44948</v>
      </c>
    </row>
    <row r="31" spans="2:6" ht="18.600000000000001" thickBot="1">
      <c r="B31" s="28">
        <v>1217756</v>
      </c>
      <c r="C31" s="29" t="s">
        <v>179</v>
      </c>
      <c r="D31" s="29">
        <v>1</v>
      </c>
      <c r="E31" s="30">
        <v>1399805</v>
      </c>
      <c r="F31" s="31">
        <v>45009</v>
      </c>
    </row>
    <row r="32" spans="2:6" ht="18.600000000000001" thickBot="1">
      <c r="B32" s="28">
        <v>1234161</v>
      </c>
      <c r="C32" s="29" t="s">
        <v>180</v>
      </c>
      <c r="D32" s="29">
        <v>1</v>
      </c>
      <c r="E32" s="30">
        <v>941670</v>
      </c>
      <c r="F32" s="31">
        <v>45374</v>
      </c>
    </row>
    <row r="33" spans="2:6" ht="18.600000000000001" thickBot="1">
      <c r="B33" s="28">
        <v>1316990</v>
      </c>
      <c r="C33" s="29" t="s">
        <v>181</v>
      </c>
      <c r="D33" s="29">
        <v>1</v>
      </c>
      <c r="E33" s="30">
        <v>450980</v>
      </c>
      <c r="F33" s="31">
        <v>45290</v>
      </c>
    </row>
    <row r="34" spans="2:6" ht="18.600000000000001" thickBot="1">
      <c r="B34" s="28">
        <v>1566705</v>
      </c>
      <c r="C34" s="29" t="s">
        <v>182</v>
      </c>
      <c r="D34" s="29">
        <v>1</v>
      </c>
      <c r="E34" s="30">
        <v>234164</v>
      </c>
      <c r="F34" s="31">
        <v>45322</v>
      </c>
    </row>
    <row r="35" spans="2:6" ht="18.600000000000001" thickBot="1">
      <c r="B35" s="28">
        <v>1804479</v>
      </c>
      <c r="C35" s="29" t="s">
        <v>183</v>
      </c>
      <c r="D35" s="29">
        <v>1</v>
      </c>
      <c r="E35" s="30">
        <v>53154</v>
      </c>
      <c r="F35" s="31">
        <v>44988</v>
      </c>
    </row>
    <row r="36" spans="2:6" ht="18.600000000000001" thickBot="1">
      <c r="B36" s="28">
        <v>1840675</v>
      </c>
      <c r="C36" s="29" t="s">
        <v>184</v>
      </c>
      <c r="D36" s="29">
        <v>1</v>
      </c>
      <c r="E36" s="30">
        <v>0</v>
      </c>
      <c r="F36" s="31">
        <v>45301</v>
      </c>
    </row>
    <row r="37" spans="2:6" ht="18.600000000000001" thickBot="1">
      <c r="B37" s="28">
        <v>1977301</v>
      </c>
      <c r="C37" s="29" t="s">
        <v>185</v>
      </c>
      <c r="D37" s="29">
        <v>1</v>
      </c>
      <c r="E37" s="30">
        <v>5325</v>
      </c>
      <c r="F37" s="31">
        <v>44976</v>
      </c>
    </row>
    <row r="38" spans="2:6" ht="18.600000000000001" thickBot="1">
      <c r="B38" s="28">
        <v>2004456</v>
      </c>
      <c r="C38" s="29" t="s">
        <v>186</v>
      </c>
      <c r="D38" s="29">
        <v>1</v>
      </c>
      <c r="E38" s="30">
        <v>500000</v>
      </c>
      <c r="F38" s="31">
        <v>45287</v>
      </c>
    </row>
    <row r="39" spans="2:6" ht="18.600000000000001" thickBot="1">
      <c r="B39" s="28">
        <v>2086041</v>
      </c>
      <c r="C39" s="29" t="s">
        <v>187</v>
      </c>
      <c r="D39" s="29">
        <v>1</v>
      </c>
      <c r="E39" s="30">
        <v>4397010</v>
      </c>
      <c r="F39" s="31">
        <v>45306</v>
      </c>
    </row>
    <row r="40" spans="2:6" ht="18.600000000000001" thickBot="1">
      <c r="B40" s="28">
        <v>2094113</v>
      </c>
      <c r="C40" s="29" t="s">
        <v>188</v>
      </c>
      <c r="D40" s="29">
        <v>1</v>
      </c>
      <c r="E40" s="30">
        <v>3110990</v>
      </c>
      <c r="F40" s="31">
        <v>45347</v>
      </c>
    </row>
    <row r="41" spans="2:6" ht="18.600000000000001" thickBot="1">
      <c r="B41" s="28">
        <v>2226460</v>
      </c>
      <c r="C41" s="29" t="s">
        <v>189</v>
      </c>
      <c r="D41" s="29">
        <v>1</v>
      </c>
      <c r="E41" s="30">
        <v>904620</v>
      </c>
      <c r="F41" s="31">
        <v>45324</v>
      </c>
    </row>
    <row r="42" spans="2:6" ht="18.600000000000001" thickBot="1">
      <c r="B42" s="28">
        <v>2234108</v>
      </c>
      <c r="C42" s="29" t="s">
        <v>190</v>
      </c>
      <c r="D42" s="29">
        <v>1</v>
      </c>
      <c r="E42" s="30">
        <v>1147913</v>
      </c>
      <c r="F42" s="31">
        <v>44971</v>
      </c>
    </row>
    <row r="43" spans="2:6" ht="18.600000000000001" thickBot="1">
      <c r="B43" s="28">
        <v>2316474</v>
      </c>
      <c r="C43" s="29" t="s">
        <v>191</v>
      </c>
      <c r="D43" s="29">
        <v>3</v>
      </c>
      <c r="E43" s="30">
        <v>1064497</v>
      </c>
      <c r="F43" s="31">
        <v>45262</v>
      </c>
    </row>
    <row r="44" spans="2:6" ht="18.600000000000001" thickBot="1">
      <c r="B44" s="28">
        <v>2750902</v>
      </c>
      <c r="C44" s="29" t="s">
        <v>192</v>
      </c>
      <c r="D44" s="29">
        <v>1</v>
      </c>
      <c r="E44" s="30">
        <v>714166</v>
      </c>
      <c r="F44" s="31">
        <v>45375</v>
      </c>
    </row>
    <row r="45" spans="2:6" ht="18.600000000000001" thickBot="1">
      <c r="B45" s="28">
        <v>2761055</v>
      </c>
      <c r="C45" s="29" t="s">
        <v>193</v>
      </c>
      <c r="D45" s="29">
        <v>1</v>
      </c>
      <c r="E45" s="30">
        <v>14190</v>
      </c>
      <c r="F45" s="31">
        <v>45312</v>
      </c>
    </row>
    <row r="46" spans="2:6">
      <c r="B46" s="28">
        <v>3104451</v>
      </c>
      <c r="C46" s="32" t="s">
        <v>194</v>
      </c>
      <c r="D46" s="32">
        <v>2</v>
      </c>
      <c r="E46" s="33">
        <v>8136406</v>
      </c>
      <c r="F46" s="34">
        <v>45364</v>
      </c>
    </row>
    <row r="48" spans="2:6">
      <c r="B48" t="s">
        <v>197</v>
      </c>
    </row>
    <row r="49" spans="2:7" ht="18.600000000000001" thickBot="1">
      <c r="B49" s="28">
        <v>51432</v>
      </c>
      <c r="C49" s="29" t="s">
        <v>195</v>
      </c>
      <c r="D49" s="29">
        <v>1</v>
      </c>
      <c r="E49" s="30">
        <v>41310</v>
      </c>
      <c r="F49" s="31">
        <v>45284</v>
      </c>
    </row>
    <row r="50" spans="2:7" ht="18.600000000000001" thickBot="1">
      <c r="B50" s="28">
        <v>97310</v>
      </c>
      <c r="C50" s="29" t="s">
        <v>184</v>
      </c>
      <c r="D50" s="29">
        <v>1</v>
      </c>
      <c r="E50" s="30">
        <v>130040</v>
      </c>
      <c r="F50" s="31">
        <v>44737</v>
      </c>
    </row>
    <row r="51" spans="2:7" ht="18.600000000000001" thickBot="1">
      <c r="B51" s="28">
        <v>945671</v>
      </c>
      <c r="C51" s="29" t="s">
        <v>196</v>
      </c>
      <c r="D51" s="29">
        <v>1</v>
      </c>
      <c r="E51" s="30">
        <v>0</v>
      </c>
      <c r="F51" s="31">
        <v>44913</v>
      </c>
    </row>
    <row r="52" spans="2:7">
      <c r="B52" s="28">
        <v>1017100</v>
      </c>
      <c r="C52" s="32" t="s">
        <v>174</v>
      </c>
      <c r="D52" s="32">
        <v>1</v>
      </c>
      <c r="E52" s="33">
        <v>0</v>
      </c>
      <c r="F52" s="34">
        <v>44873</v>
      </c>
    </row>
    <row r="54" spans="2:7">
      <c r="B54" t="s">
        <v>198</v>
      </c>
    </row>
    <row r="55" spans="2:7" ht="18.600000000000001" thickBot="1">
      <c r="B55" s="35">
        <v>1</v>
      </c>
      <c r="C55" s="30">
        <v>19</v>
      </c>
      <c r="D55" s="31">
        <v>44566</v>
      </c>
      <c r="E55" s="29">
        <v>51432</v>
      </c>
      <c r="F55" s="30"/>
      <c r="G55" s="30">
        <v>41310</v>
      </c>
    </row>
    <row r="56" spans="2:7" ht="18.600000000000001" thickBot="1">
      <c r="B56" s="35">
        <v>2</v>
      </c>
      <c r="C56" s="30">
        <v>1</v>
      </c>
      <c r="D56" s="31">
        <v>44621</v>
      </c>
      <c r="E56" s="29">
        <v>1017119</v>
      </c>
      <c r="F56" s="30">
        <v>65000</v>
      </c>
      <c r="G56" s="30"/>
    </row>
    <row r="57" spans="2:7" ht="18.600000000000001" thickBot="1">
      <c r="B57" s="35">
        <v>3</v>
      </c>
      <c r="C57" s="30">
        <v>2</v>
      </c>
      <c r="D57" s="31">
        <v>44621</v>
      </c>
      <c r="E57" s="29">
        <v>1046990</v>
      </c>
      <c r="F57" s="30"/>
      <c r="G57" s="30">
        <v>19000</v>
      </c>
    </row>
    <row r="58" spans="2:7" ht="18.600000000000001" thickBot="1">
      <c r="B58" s="35">
        <v>4</v>
      </c>
      <c r="C58" s="30">
        <v>5</v>
      </c>
      <c r="D58" s="31">
        <v>44621</v>
      </c>
      <c r="E58" s="29">
        <v>945671</v>
      </c>
      <c r="F58" s="30"/>
      <c r="G58" s="30"/>
    </row>
    <row r="59" spans="2:7" ht="18.600000000000001" thickBot="1">
      <c r="B59" s="35">
        <v>5</v>
      </c>
      <c r="C59" s="30">
        <v>1</v>
      </c>
      <c r="D59" s="31">
        <v>44807</v>
      </c>
      <c r="E59" s="29">
        <v>887132</v>
      </c>
      <c r="F59" s="30">
        <v>1000000</v>
      </c>
      <c r="G59" s="30"/>
    </row>
    <row r="60" spans="2:7" ht="18.600000000000001" thickBot="1">
      <c r="B60" s="35">
        <v>6</v>
      </c>
      <c r="C60" s="30">
        <v>1</v>
      </c>
      <c r="D60" s="31">
        <v>44905</v>
      </c>
      <c r="E60" s="29">
        <v>887132</v>
      </c>
      <c r="F60" s="30">
        <v>1000000</v>
      </c>
      <c r="G60" s="30"/>
    </row>
    <row r="61" spans="2:7" ht="18.600000000000001" thickBot="1">
      <c r="B61" s="35">
        <v>7</v>
      </c>
      <c r="C61" s="30">
        <v>3</v>
      </c>
      <c r="D61" s="31">
        <v>45087</v>
      </c>
      <c r="E61" s="29">
        <v>887132</v>
      </c>
      <c r="F61" s="30">
        <v>1000000</v>
      </c>
      <c r="G61" s="30"/>
    </row>
    <row r="62" spans="2:7" ht="18.600000000000001" thickBot="1">
      <c r="B62" s="35">
        <v>8</v>
      </c>
      <c r="C62" s="30">
        <v>2</v>
      </c>
      <c r="D62" s="31">
        <v>45256</v>
      </c>
      <c r="E62" s="29">
        <v>1017119</v>
      </c>
      <c r="F62" s="30"/>
      <c r="G62" s="30">
        <v>200000</v>
      </c>
    </row>
    <row r="63" spans="2:7" ht="18.600000000000001" thickBot="1">
      <c r="B63" s="35">
        <v>9</v>
      </c>
      <c r="C63" s="30">
        <v>1</v>
      </c>
      <c r="D63" s="31">
        <v>45270</v>
      </c>
      <c r="E63" s="29">
        <v>2086041</v>
      </c>
      <c r="F63" s="30">
        <v>1164047</v>
      </c>
      <c r="G63" s="30"/>
    </row>
    <row r="64" spans="2:7" ht="18.600000000000001" thickBot="1">
      <c r="B64" s="35">
        <v>10</v>
      </c>
      <c r="C64" s="30">
        <v>3</v>
      </c>
      <c r="D64" s="31">
        <v>45270</v>
      </c>
      <c r="E64" s="29">
        <v>887132</v>
      </c>
      <c r="F64" s="30">
        <v>491000</v>
      </c>
      <c r="G64" s="30"/>
    </row>
    <row r="65" spans="2:7" ht="18.600000000000001" thickBot="1">
      <c r="B65" s="35">
        <v>11</v>
      </c>
      <c r="C65" s="30">
        <v>1</v>
      </c>
      <c r="D65" s="31">
        <v>45285</v>
      </c>
      <c r="E65" s="29">
        <v>37651</v>
      </c>
      <c r="F65" s="30">
        <v>30000</v>
      </c>
      <c r="G65" s="30"/>
    </row>
    <row r="66" spans="2:7" ht="18.600000000000001" thickBot="1">
      <c r="B66" s="35">
        <v>12</v>
      </c>
      <c r="C66" s="30">
        <v>2</v>
      </c>
      <c r="D66" s="31">
        <v>45288</v>
      </c>
      <c r="E66" s="29">
        <v>1115600</v>
      </c>
      <c r="F66" s="30"/>
      <c r="G66" s="30">
        <v>100000</v>
      </c>
    </row>
    <row r="67" spans="2:7" ht="18.600000000000001" thickBot="1">
      <c r="B67" s="35">
        <v>13</v>
      </c>
      <c r="C67" s="30">
        <v>3</v>
      </c>
      <c r="D67" s="31">
        <v>45288</v>
      </c>
      <c r="E67" s="29">
        <v>1115600</v>
      </c>
      <c r="F67" s="30"/>
      <c r="G67" s="30">
        <v>120000</v>
      </c>
    </row>
    <row r="68" spans="2:7" ht="18.600000000000001" thickBot="1">
      <c r="B68" s="35">
        <v>14</v>
      </c>
      <c r="C68" s="30">
        <v>6</v>
      </c>
      <c r="D68" s="31">
        <v>45288</v>
      </c>
      <c r="E68" s="29">
        <v>1115600</v>
      </c>
      <c r="F68" s="30"/>
      <c r="G68" s="30">
        <v>256</v>
      </c>
    </row>
    <row r="69" spans="2:7" ht="18.600000000000001" thickBot="1">
      <c r="B69" s="35">
        <v>15</v>
      </c>
      <c r="C69" s="30">
        <v>3</v>
      </c>
      <c r="D69" s="31">
        <v>45288</v>
      </c>
      <c r="E69" s="29">
        <v>1115600</v>
      </c>
      <c r="F69" s="30">
        <v>31500</v>
      </c>
      <c r="G69" s="30"/>
    </row>
    <row r="70" spans="2:7" ht="18.600000000000001" thickBot="1">
      <c r="B70" s="35">
        <v>16</v>
      </c>
      <c r="C70" s="30">
        <v>1</v>
      </c>
      <c r="D70" s="31">
        <v>45296</v>
      </c>
      <c r="E70" s="29">
        <v>311240</v>
      </c>
      <c r="F70" s="30">
        <v>100000</v>
      </c>
      <c r="G70" s="30"/>
    </row>
    <row r="71" spans="2:7" ht="18.600000000000001" thickBot="1">
      <c r="B71" s="35">
        <v>17</v>
      </c>
      <c r="C71" s="30">
        <v>1</v>
      </c>
      <c r="D71" s="31">
        <v>45302</v>
      </c>
      <c r="E71" s="29">
        <v>351333</v>
      </c>
      <c r="F71" s="30">
        <v>50000</v>
      </c>
      <c r="G71" s="30"/>
    </row>
    <row r="72" spans="2:7" ht="18.600000000000001" thickBot="1">
      <c r="B72" s="35">
        <v>18</v>
      </c>
      <c r="C72" s="30">
        <v>3</v>
      </c>
      <c r="D72" s="31">
        <v>45302</v>
      </c>
      <c r="E72" s="29">
        <v>351333</v>
      </c>
      <c r="F72" s="30"/>
      <c r="G72" s="30">
        <v>12600</v>
      </c>
    </row>
    <row r="73" spans="2:7" ht="18.600000000000001" thickBot="1">
      <c r="B73" s="35">
        <v>19</v>
      </c>
      <c r="C73" s="30">
        <v>6</v>
      </c>
      <c r="D73" s="31">
        <v>45302</v>
      </c>
      <c r="E73" s="29">
        <v>351333</v>
      </c>
      <c r="F73" s="30"/>
      <c r="G73" s="30">
        <v>128</v>
      </c>
    </row>
    <row r="74" spans="2:7" ht="18.600000000000001" thickBot="1">
      <c r="B74" s="35">
        <v>20</v>
      </c>
      <c r="C74" s="30">
        <v>3</v>
      </c>
      <c r="D74" s="31">
        <v>45312</v>
      </c>
      <c r="E74" s="29">
        <v>1106405</v>
      </c>
      <c r="F74" s="30">
        <v>1714930</v>
      </c>
      <c r="G74" s="30"/>
    </row>
    <row r="75" spans="2:7" ht="18.600000000000001" thickBot="1">
      <c r="B75" s="35">
        <v>21</v>
      </c>
      <c r="C75" s="30">
        <v>1</v>
      </c>
      <c r="D75" s="31">
        <v>45323</v>
      </c>
      <c r="E75" s="29">
        <v>3104451</v>
      </c>
      <c r="F75" s="30">
        <v>100000</v>
      </c>
      <c r="G75" s="30"/>
    </row>
    <row r="76" spans="2:7" ht="18.600000000000001" thickBot="1">
      <c r="B76" s="35">
        <v>22</v>
      </c>
      <c r="C76" s="30">
        <v>2</v>
      </c>
      <c r="D76" s="31">
        <v>45347</v>
      </c>
      <c r="E76" s="29">
        <v>3104451</v>
      </c>
      <c r="F76" s="30"/>
      <c r="G76" s="30">
        <v>60000</v>
      </c>
    </row>
    <row r="77" spans="2:7" ht="18.600000000000001" thickBot="1">
      <c r="B77" s="35">
        <v>23</v>
      </c>
      <c r="C77" s="30">
        <v>4</v>
      </c>
      <c r="D77" s="31">
        <v>45350</v>
      </c>
      <c r="E77" s="29">
        <v>2750902</v>
      </c>
      <c r="F77" s="30"/>
      <c r="G77" s="30"/>
    </row>
    <row r="78" spans="2:7" ht="18.600000000000001" thickBot="1">
      <c r="B78" s="35">
        <v>24</v>
      </c>
      <c r="C78" s="30">
        <v>3</v>
      </c>
      <c r="D78" s="31">
        <v>45364</v>
      </c>
      <c r="E78" s="29">
        <v>3104451</v>
      </c>
      <c r="F78" s="30">
        <v>807310</v>
      </c>
      <c r="G78" s="30"/>
    </row>
    <row r="79" spans="2:7" ht="18.600000000000001" thickBot="1">
      <c r="B79" s="35">
        <v>25</v>
      </c>
      <c r="C79" s="30">
        <v>2</v>
      </c>
      <c r="D79" s="31">
        <v>45364</v>
      </c>
      <c r="E79" s="29">
        <v>3104451</v>
      </c>
      <c r="F79" s="30"/>
      <c r="G79" s="30">
        <v>55000</v>
      </c>
    </row>
    <row r="80" spans="2:7" ht="18.600000000000001" thickBot="1">
      <c r="B80" s="35">
        <v>26</v>
      </c>
      <c r="C80" s="30">
        <v>3</v>
      </c>
      <c r="D80" s="31">
        <v>45364</v>
      </c>
      <c r="E80" s="29">
        <v>3104451</v>
      </c>
      <c r="F80" s="30"/>
      <c r="G80" s="30">
        <v>15100</v>
      </c>
    </row>
    <row r="81" spans="2:7" ht="18.600000000000001" thickBot="1">
      <c r="B81" s="35">
        <v>27</v>
      </c>
      <c r="C81" s="30">
        <v>2</v>
      </c>
      <c r="D81" s="31">
        <v>45371</v>
      </c>
      <c r="E81" s="29">
        <v>311240</v>
      </c>
      <c r="F81" s="30"/>
      <c r="G81" s="30">
        <v>36591</v>
      </c>
    </row>
    <row r="82" spans="2:7" ht="18.600000000000001" thickBot="1">
      <c r="B82" s="35">
        <v>28</v>
      </c>
      <c r="C82" s="30">
        <v>2</v>
      </c>
      <c r="D82" s="31">
        <v>45374</v>
      </c>
      <c r="E82" s="29">
        <v>1234161</v>
      </c>
      <c r="F82" s="30"/>
      <c r="G82" s="30">
        <v>30000</v>
      </c>
    </row>
    <row r="83" spans="2:7">
      <c r="B83" s="35">
        <v>29</v>
      </c>
      <c r="C83" s="33">
        <v>1</v>
      </c>
      <c r="D83" s="34">
        <v>45374</v>
      </c>
      <c r="E83" s="32">
        <v>2750902</v>
      </c>
      <c r="F83" s="33">
        <v>50000</v>
      </c>
      <c r="G83" s="33"/>
    </row>
    <row r="86" spans="2:7" ht="18.600000000000001" thickBot="1">
      <c r="B86" s="36">
        <v>1</v>
      </c>
      <c r="C86" s="37" t="s">
        <v>199</v>
      </c>
    </row>
    <row r="87" spans="2:7" ht="18.600000000000001" thickBot="1">
      <c r="B87" s="36">
        <v>2</v>
      </c>
      <c r="C87" s="37" t="s">
        <v>200</v>
      </c>
    </row>
    <row r="88" spans="2:7" ht="18.600000000000001" thickBot="1">
      <c r="B88" s="36">
        <v>3</v>
      </c>
      <c r="C88" s="37" t="s">
        <v>201</v>
      </c>
    </row>
    <row r="89" spans="2:7" ht="18.600000000000001" thickBot="1">
      <c r="B89" s="36">
        <v>4</v>
      </c>
      <c r="C89" s="37" t="s">
        <v>202</v>
      </c>
    </row>
    <row r="90" spans="2:7" ht="18.600000000000001" thickBot="1">
      <c r="B90" s="36">
        <v>5</v>
      </c>
      <c r="C90" s="37" t="s">
        <v>203</v>
      </c>
    </row>
    <row r="91" spans="2:7" ht="18.600000000000001" thickBot="1">
      <c r="B91" s="36">
        <v>6</v>
      </c>
      <c r="C91" s="37" t="s">
        <v>204</v>
      </c>
    </row>
    <row r="92" spans="2:7">
      <c r="B92" s="36">
        <v>9</v>
      </c>
      <c r="C92" s="38" t="s">
        <v>205</v>
      </c>
    </row>
  </sheetData>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4CC05-0B9A-4E01-BB17-84F783EA8B46}">
  <sheetPr codeName="Sheet4"/>
  <dimension ref="B2:I56"/>
  <sheetViews>
    <sheetView topLeftCell="B1" workbookViewId="0">
      <selection activeCell="J11" sqref="J11"/>
    </sheetView>
  </sheetViews>
  <sheetFormatPr defaultRowHeight="18"/>
  <cols>
    <col min="1" max="1" width="4.59765625" customWidth="1"/>
  </cols>
  <sheetData>
    <row r="2" spans="2:9">
      <c r="B2" t="s">
        <v>101</v>
      </c>
    </row>
    <row r="3" spans="2:9">
      <c r="B3" t="s">
        <v>106</v>
      </c>
    </row>
    <row r="4" spans="2:9">
      <c r="B4" s="18" t="s">
        <v>96</v>
      </c>
      <c r="C4" t="s">
        <v>89</v>
      </c>
    </row>
    <row r="5" spans="2:9">
      <c r="C5" s="18" t="s">
        <v>96</v>
      </c>
      <c r="D5" t="s">
        <v>93</v>
      </c>
      <c r="G5" t="s">
        <v>141</v>
      </c>
    </row>
    <row r="6" spans="2:9">
      <c r="D6" s="18" t="s">
        <v>96</v>
      </c>
      <c r="E6" t="s">
        <v>94</v>
      </c>
      <c r="G6" t="s">
        <v>140</v>
      </c>
      <c r="I6" t="s">
        <v>142</v>
      </c>
    </row>
    <row r="7" spans="2:9">
      <c r="B7" s="18" t="s">
        <v>96</v>
      </c>
      <c r="C7" t="s">
        <v>90</v>
      </c>
    </row>
    <row r="8" spans="2:9">
      <c r="C8" s="18" t="s">
        <v>96</v>
      </c>
      <c r="D8" t="s">
        <v>93</v>
      </c>
    </row>
    <row r="9" spans="2:9">
      <c r="D9" s="18" t="s">
        <v>96</v>
      </c>
      <c r="E9" t="s">
        <v>98</v>
      </c>
    </row>
    <row r="10" spans="2:9">
      <c r="B10" s="18" t="s">
        <v>96</v>
      </c>
      <c r="C10" t="s">
        <v>91</v>
      </c>
      <c r="G10" t="s">
        <v>143</v>
      </c>
    </row>
    <row r="11" spans="2:9">
      <c r="C11" s="18" t="s">
        <v>96</v>
      </c>
      <c r="D11" t="s">
        <v>93</v>
      </c>
      <c r="G11" t="s">
        <v>144</v>
      </c>
    </row>
    <row r="12" spans="2:9">
      <c r="D12" s="18" t="s">
        <v>96</v>
      </c>
      <c r="E12" t="s">
        <v>97</v>
      </c>
    </row>
    <row r="13" spans="2:9">
      <c r="B13" s="18" t="s">
        <v>96</v>
      </c>
      <c r="C13" t="s">
        <v>92</v>
      </c>
    </row>
    <row r="14" spans="2:9">
      <c r="C14" s="18" t="s">
        <v>96</v>
      </c>
      <c r="D14" t="s">
        <v>95</v>
      </c>
      <c r="G14" t="s">
        <v>99</v>
      </c>
    </row>
    <row r="16" spans="2:9">
      <c r="C16" t="s">
        <v>104</v>
      </c>
    </row>
    <row r="17" spans="2:7">
      <c r="C17" t="s">
        <v>93</v>
      </c>
    </row>
    <row r="18" spans="2:7">
      <c r="C18" s="18" t="s">
        <v>103</v>
      </c>
      <c r="D18" t="s">
        <v>102</v>
      </c>
    </row>
    <row r="19" spans="2:7">
      <c r="C19" s="18" t="s">
        <v>103</v>
      </c>
      <c r="D19" t="s">
        <v>94</v>
      </c>
    </row>
    <row r="20" spans="2:7">
      <c r="C20" s="18" t="s">
        <v>103</v>
      </c>
      <c r="D20" t="s">
        <v>97</v>
      </c>
    </row>
    <row r="21" spans="2:7">
      <c r="C21" s="18" t="s">
        <v>96</v>
      </c>
      <c r="D21" t="s">
        <v>98</v>
      </c>
    </row>
    <row r="23" spans="2:7">
      <c r="B23" t="s">
        <v>105</v>
      </c>
    </row>
    <row r="24" spans="2:7">
      <c r="B24" t="s">
        <v>106</v>
      </c>
    </row>
    <row r="25" spans="2:7">
      <c r="C25" t="s">
        <v>92</v>
      </c>
    </row>
    <row r="26" spans="2:7">
      <c r="D26" t="s">
        <v>107</v>
      </c>
    </row>
    <row r="27" spans="2:7">
      <c r="E27" t="s">
        <v>89</v>
      </c>
    </row>
    <row r="28" spans="2:7">
      <c r="E28" s="18" t="s">
        <v>96</v>
      </c>
      <c r="F28" t="s">
        <v>93</v>
      </c>
    </row>
    <row r="29" spans="2:7">
      <c r="F29" s="18" t="s">
        <v>96</v>
      </c>
      <c r="G29" t="s">
        <v>94</v>
      </c>
    </row>
    <row r="30" spans="2:7">
      <c r="E30" t="s">
        <v>90</v>
      </c>
    </row>
    <row r="31" spans="2:7">
      <c r="E31" s="18" t="s">
        <v>96</v>
      </c>
      <c r="F31" t="s">
        <v>93</v>
      </c>
    </row>
    <row r="32" spans="2:7">
      <c r="F32" s="18" t="s">
        <v>96</v>
      </c>
      <c r="G32" t="s">
        <v>98</v>
      </c>
    </row>
    <row r="33" spans="3:7">
      <c r="E33" t="s">
        <v>91</v>
      </c>
    </row>
    <row r="34" spans="3:7">
      <c r="E34" s="18" t="s">
        <v>96</v>
      </c>
      <c r="F34" t="s">
        <v>93</v>
      </c>
    </row>
    <row r="35" spans="3:7">
      <c r="F35" s="18" t="s">
        <v>96</v>
      </c>
      <c r="G35" t="s">
        <v>97</v>
      </c>
    </row>
    <row r="36" spans="3:7">
      <c r="E36" t="s">
        <v>108</v>
      </c>
    </row>
    <row r="37" spans="3:7">
      <c r="E37" s="18" t="s">
        <v>96</v>
      </c>
      <c r="F37" t="s">
        <v>109</v>
      </c>
    </row>
    <row r="38" spans="3:7">
      <c r="D38" t="s">
        <v>110</v>
      </c>
    </row>
    <row r="39" spans="3:7">
      <c r="E39" t="s">
        <v>111</v>
      </c>
      <c r="G39" t="s">
        <v>112</v>
      </c>
    </row>
    <row r="40" spans="3:7">
      <c r="E40" s="18" t="s">
        <v>96</v>
      </c>
      <c r="F40" t="s">
        <v>113</v>
      </c>
      <c r="G40" t="s">
        <v>116</v>
      </c>
    </row>
    <row r="41" spans="3:7">
      <c r="F41" s="18" t="s">
        <v>96</v>
      </c>
      <c r="G41" t="s">
        <v>119</v>
      </c>
    </row>
    <row r="42" spans="3:7">
      <c r="E42" s="18" t="s">
        <v>96</v>
      </c>
      <c r="F42" t="s">
        <v>114</v>
      </c>
      <c r="G42" t="s">
        <v>117</v>
      </c>
    </row>
    <row r="43" spans="3:7">
      <c r="F43" s="18" t="s">
        <v>96</v>
      </c>
      <c r="G43" t="s">
        <v>120</v>
      </c>
    </row>
    <row r="44" spans="3:7">
      <c r="E44" s="18" t="s">
        <v>96</v>
      </c>
      <c r="F44" t="s">
        <v>115</v>
      </c>
      <c r="G44" t="s">
        <v>118</v>
      </c>
    </row>
    <row r="45" spans="3:7">
      <c r="F45" s="18" t="s">
        <v>96</v>
      </c>
      <c r="G45" t="s">
        <v>121</v>
      </c>
    </row>
    <row r="46" spans="3:7">
      <c r="E46" s="18" t="s">
        <v>96</v>
      </c>
      <c r="F46" t="s">
        <v>122</v>
      </c>
    </row>
    <row r="47" spans="3:7">
      <c r="F47" s="18" t="s">
        <v>96</v>
      </c>
      <c r="G47" t="s">
        <v>123</v>
      </c>
    </row>
    <row r="48" spans="3:7">
      <c r="C48" t="s">
        <v>104</v>
      </c>
    </row>
    <row r="49" spans="4:8">
      <c r="D49" t="s">
        <v>110</v>
      </c>
    </row>
    <row r="50" spans="4:8">
      <c r="E50" t="s">
        <v>111</v>
      </c>
    </row>
    <row r="51" spans="4:8">
      <c r="E51" s="18" t="s">
        <v>96</v>
      </c>
      <c r="F51" t="s">
        <v>125</v>
      </c>
    </row>
    <row r="52" spans="4:8">
      <c r="F52" s="18" t="s">
        <v>96</v>
      </c>
      <c r="G52" t="s">
        <v>93</v>
      </c>
    </row>
    <row r="53" spans="4:8">
      <c r="G53" s="18" t="s">
        <v>103</v>
      </c>
      <c r="H53" t="s">
        <v>119</v>
      </c>
    </row>
    <row r="54" spans="4:8">
      <c r="G54" s="18" t="s">
        <v>103</v>
      </c>
      <c r="H54" t="s">
        <v>120</v>
      </c>
    </row>
    <row r="55" spans="4:8">
      <c r="G55" s="18" t="s">
        <v>103</v>
      </c>
      <c r="H55" t="s">
        <v>97</v>
      </c>
    </row>
    <row r="56" spans="4:8">
      <c r="G56" s="18" t="s">
        <v>96</v>
      </c>
      <c r="H56" t="s">
        <v>123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メモ</vt:lpstr>
      <vt:lpstr>問題</vt:lpstr>
      <vt:lpstr>Sheet1</vt:lpstr>
      <vt:lpstr>フォルダ構成</vt:lpstr>
      <vt:lpstr>問題!Print_Area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由良 安規</dc:creator>
  <cp:lastModifiedBy>USER ISS</cp:lastModifiedBy>
  <cp:lastPrinted>2026-05-28T04:09:36Z</cp:lastPrinted>
  <dcterms:created xsi:type="dcterms:W3CDTF">2015-06-05T18:19:34Z</dcterms:created>
  <dcterms:modified xsi:type="dcterms:W3CDTF">2026-06-18T06:00:45Z</dcterms:modified>
</cp:coreProperties>
</file>