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Isserv-dc4\研修用\研修生フォルダ\村山\"/>
    </mc:Choice>
  </mc:AlternateContent>
  <xr:revisionPtr revIDLastSave="0" documentId="13_ncr:1_{260705AB-BE3F-42FE-991C-40E005CBE5F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202606" sheetId="29" r:id="rId1"/>
    <sheet name="202607" sheetId="30" r:id="rId2"/>
    <sheet name="ひな型" sheetId="4" r:id="rId3"/>
  </sheets>
  <functionGroups builtInGroupCount="19"/>
  <definedNames>
    <definedName name="_xlnm.Print_Area" localSheetId="0">'202606'!$A$1:$H$41</definedName>
    <definedName name="_xlnm.Print_Area" localSheetId="1">'202607'!$A$1:$H$41</definedName>
    <definedName name="_xlnm.Print_Area" localSheetId="2">ひな型!$A$1:$H$41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30" l="1"/>
  <c r="F35" i="30"/>
  <c r="A35" i="30"/>
  <c r="B35" i="30" s="1"/>
  <c r="F34" i="30"/>
  <c r="A34" i="30"/>
  <c r="B34" i="30" s="1"/>
  <c r="F33" i="30"/>
  <c r="A33" i="30"/>
  <c r="B33" i="30" s="1"/>
  <c r="F32" i="30"/>
  <c r="A32" i="30"/>
  <c r="B32" i="30" s="1"/>
  <c r="F31" i="30"/>
  <c r="A31" i="30"/>
  <c r="B31" i="30" s="1"/>
  <c r="F30" i="30"/>
  <c r="A30" i="30"/>
  <c r="B30" i="30" s="1"/>
  <c r="F29" i="30"/>
  <c r="A29" i="30"/>
  <c r="B29" i="30" s="1"/>
  <c r="F28" i="30"/>
  <c r="A28" i="30"/>
  <c r="B28" i="30" s="1"/>
  <c r="F27" i="30"/>
  <c r="A27" i="30"/>
  <c r="B27" i="30" s="1"/>
  <c r="F26" i="30"/>
  <c r="A26" i="30"/>
  <c r="B26" i="30" s="1"/>
  <c r="F25" i="30"/>
  <c r="A25" i="30"/>
  <c r="B25" i="30" s="1"/>
  <c r="F24" i="30"/>
  <c r="A24" i="30"/>
  <c r="B24" i="30" s="1"/>
  <c r="F23" i="30"/>
  <c r="A23" i="30"/>
  <c r="B23" i="30" s="1"/>
  <c r="F22" i="30"/>
  <c r="A22" i="30"/>
  <c r="B22" i="30" s="1"/>
  <c r="F21" i="30"/>
  <c r="A21" i="30"/>
  <c r="B21" i="30" s="1"/>
  <c r="F20" i="30"/>
  <c r="A20" i="30"/>
  <c r="B20" i="30" s="1"/>
  <c r="F19" i="30"/>
  <c r="A19" i="30"/>
  <c r="B19" i="30" s="1"/>
  <c r="F18" i="30"/>
  <c r="A18" i="30"/>
  <c r="B18" i="30" s="1"/>
  <c r="F17" i="30"/>
  <c r="A17" i="30"/>
  <c r="B17" i="30" s="1"/>
  <c r="F16" i="30"/>
  <c r="A16" i="30"/>
  <c r="B16" i="30" s="1"/>
  <c r="F15" i="30"/>
  <c r="A15" i="30"/>
  <c r="B15" i="30" s="1"/>
  <c r="F14" i="30"/>
  <c r="A14" i="30"/>
  <c r="B14" i="30" s="1"/>
  <c r="F13" i="30"/>
  <c r="A13" i="30"/>
  <c r="B13" i="30" s="1"/>
  <c r="F12" i="30"/>
  <c r="A12" i="30"/>
  <c r="B12" i="30" s="1"/>
  <c r="F11" i="30"/>
  <c r="A11" i="30"/>
  <c r="B11" i="30" s="1"/>
  <c r="F10" i="30"/>
  <c r="A10" i="30"/>
  <c r="B10" i="30" s="1"/>
  <c r="F9" i="30"/>
  <c r="A9" i="30"/>
  <c r="B9" i="30" s="1"/>
  <c r="F8" i="30"/>
  <c r="A8" i="30"/>
  <c r="B8" i="30" s="1"/>
  <c r="F7" i="30"/>
  <c r="A7" i="30"/>
  <c r="B7" i="30" s="1"/>
  <c r="F6" i="30"/>
  <c r="A6" i="30"/>
  <c r="B6" i="30" s="1"/>
  <c r="F5" i="30"/>
  <c r="A5" i="30"/>
  <c r="B5" i="30" s="1"/>
  <c r="D36" i="29"/>
  <c r="F35" i="29"/>
  <c r="A35" i="29"/>
  <c r="B35" i="29" s="1"/>
  <c r="F34" i="29"/>
  <c r="A34" i="29"/>
  <c r="B34" i="29" s="1"/>
  <c r="F33" i="29"/>
  <c r="A33" i="29"/>
  <c r="B33" i="29" s="1"/>
  <c r="F32" i="29"/>
  <c r="A32" i="29"/>
  <c r="B32" i="29" s="1"/>
  <c r="F31" i="29"/>
  <c r="A31" i="29"/>
  <c r="B31" i="29" s="1"/>
  <c r="F30" i="29"/>
  <c r="A30" i="29"/>
  <c r="B30" i="29" s="1"/>
  <c r="F29" i="29"/>
  <c r="A29" i="29"/>
  <c r="B29" i="29" s="1"/>
  <c r="F28" i="29"/>
  <c r="A28" i="29"/>
  <c r="B28" i="29" s="1"/>
  <c r="F27" i="29"/>
  <c r="A27" i="29"/>
  <c r="B27" i="29" s="1"/>
  <c r="F26" i="29"/>
  <c r="A26" i="29"/>
  <c r="B26" i="29" s="1"/>
  <c r="F25" i="29"/>
  <c r="A25" i="29"/>
  <c r="B25" i="29" s="1"/>
  <c r="F24" i="29"/>
  <c r="A24" i="29"/>
  <c r="B24" i="29" s="1"/>
  <c r="F23" i="29"/>
  <c r="A23" i="29"/>
  <c r="B23" i="29" s="1"/>
  <c r="F22" i="29"/>
  <c r="A22" i="29"/>
  <c r="B22" i="29" s="1"/>
  <c r="F21" i="29"/>
  <c r="A21" i="29"/>
  <c r="B21" i="29" s="1"/>
  <c r="F20" i="29"/>
  <c r="A20" i="29"/>
  <c r="B20" i="29" s="1"/>
  <c r="F19" i="29"/>
  <c r="A19" i="29"/>
  <c r="B19" i="29" s="1"/>
  <c r="F18" i="29"/>
  <c r="A18" i="29"/>
  <c r="B18" i="29" s="1"/>
  <c r="F17" i="29"/>
  <c r="A17" i="29"/>
  <c r="B17" i="29" s="1"/>
  <c r="F16" i="29"/>
  <c r="A16" i="29"/>
  <c r="B16" i="29" s="1"/>
  <c r="F15" i="29"/>
  <c r="A15" i="29"/>
  <c r="B15" i="29" s="1"/>
  <c r="F14" i="29"/>
  <c r="A14" i="29"/>
  <c r="B14" i="29" s="1"/>
  <c r="F13" i="29"/>
  <c r="B13" i="29"/>
  <c r="A13" i="29"/>
  <c r="F12" i="29"/>
  <c r="A12" i="29"/>
  <c r="B12" i="29" s="1"/>
  <c r="F11" i="29"/>
  <c r="A11" i="29"/>
  <c r="B11" i="29" s="1"/>
  <c r="F10" i="29"/>
  <c r="A10" i="29"/>
  <c r="B10" i="29" s="1"/>
  <c r="F9" i="29"/>
  <c r="A9" i="29"/>
  <c r="B9" i="29" s="1"/>
  <c r="F8" i="29"/>
  <c r="A8" i="29"/>
  <c r="B8" i="29" s="1"/>
  <c r="F7" i="29"/>
  <c r="A7" i="29"/>
  <c r="B7" i="29" s="1"/>
  <c r="F6" i="29"/>
  <c r="A6" i="29"/>
  <c r="B6" i="29" s="1"/>
  <c r="F5" i="29"/>
  <c r="A5" i="29"/>
  <c r="B5" i="29" s="1"/>
  <c r="D36" i="4"/>
  <c r="A34" i="4"/>
  <c r="B34" i="4" s="1"/>
  <c r="A35" i="4"/>
  <c r="B35" i="4" s="1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A33" i="4"/>
  <c r="B33" i="4" s="1"/>
  <c r="A32" i="4"/>
  <c r="B32" i="4" s="1"/>
  <c r="A31" i="4"/>
  <c r="B31" i="4" s="1"/>
  <c r="A30" i="4"/>
  <c r="B30" i="4" s="1"/>
  <c r="A29" i="4"/>
  <c r="B29" i="4" s="1"/>
  <c r="A28" i="4"/>
  <c r="B28" i="4" s="1"/>
  <c r="A27" i="4"/>
  <c r="B27" i="4" s="1"/>
  <c r="A26" i="4"/>
  <c r="B26" i="4" s="1"/>
  <c r="A25" i="4"/>
  <c r="B25" i="4" s="1"/>
  <c r="A24" i="4"/>
  <c r="B24" i="4" s="1"/>
  <c r="A23" i="4"/>
  <c r="B23" i="4" s="1"/>
  <c r="A22" i="4"/>
  <c r="B22" i="4" s="1"/>
  <c r="A21" i="4"/>
  <c r="B21" i="4" s="1"/>
  <c r="A20" i="4"/>
  <c r="B20" i="4" s="1"/>
  <c r="A19" i="4"/>
  <c r="B19" i="4" s="1"/>
  <c r="A18" i="4"/>
  <c r="B18" i="4" s="1"/>
  <c r="A17" i="4"/>
  <c r="B17" i="4" s="1"/>
  <c r="A16" i="4"/>
  <c r="B16" i="4" s="1"/>
  <c r="A15" i="4"/>
  <c r="B15" i="4" s="1"/>
  <c r="A14" i="4"/>
  <c r="B14" i="4" s="1"/>
  <c r="A13" i="4"/>
  <c r="B13" i="4" s="1"/>
  <c r="A12" i="4"/>
  <c r="B12" i="4" s="1"/>
  <c r="A11" i="4"/>
  <c r="B11" i="4" s="1"/>
  <c r="A10" i="4"/>
  <c r="B10" i="4" s="1"/>
  <c r="A9" i="4"/>
  <c r="B9" i="4" s="1"/>
  <c r="A8" i="4"/>
  <c r="B8" i="4" s="1"/>
  <c r="A7" i="4"/>
  <c r="B7" i="4" s="1"/>
  <c r="A6" i="4"/>
  <c r="B6" i="4" s="1"/>
  <c r="A5" i="4"/>
  <c r="B5" i="4" s="1"/>
  <c r="F36" i="30" l="1"/>
  <c r="G36" i="30" s="1"/>
  <c r="F36" i="29"/>
  <c r="G36" i="29" s="1"/>
  <c r="F36" i="4"/>
  <c r="G36" i="4" l="1"/>
</calcChain>
</file>

<file path=xl/sharedStrings.xml><?xml version="1.0" encoding="utf-8"?>
<sst xmlns="http://schemas.openxmlformats.org/spreadsheetml/2006/main" count="60" uniqueCount="25">
  <si>
    <t>所属</t>
    <rPh sb="0" eb="2">
      <t>ショゾク</t>
    </rPh>
    <phoneticPr fontId="1"/>
  </si>
  <si>
    <t>年</t>
  </si>
  <si>
    <t>月</t>
  </si>
  <si>
    <t>氏名</t>
  </si>
  <si>
    <t>日付</t>
  </si>
  <si>
    <t>曜日</t>
  </si>
  <si>
    <t>開始時刻</t>
    <rPh sb="0" eb="2">
      <t>カイシ</t>
    </rPh>
    <rPh sb="2" eb="4">
      <t>ジコク</t>
    </rPh>
    <phoneticPr fontId="1"/>
  </si>
  <si>
    <t>終了時刻</t>
    <rPh sb="0" eb="2">
      <t>シュウリョウ</t>
    </rPh>
    <rPh sb="2" eb="4">
      <t>ジコク</t>
    </rPh>
    <phoneticPr fontId="1"/>
  </si>
  <si>
    <t>休憩時間</t>
  </si>
  <si>
    <t>稼働時間</t>
    <rPh sb="0" eb="2">
      <t>カドウ</t>
    </rPh>
    <phoneticPr fontId="1"/>
  </si>
  <si>
    <t>備考</t>
    <rPh sb="0" eb="2">
      <t>ビコウ</t>
    </rPh>
    <phoneticPr fontId="1"/>
  </si>
  <si>
    <t>出勤日数</t>
    <rPh sb="0" eb="2">
      <t>シュッキン</t>
    </rPh>
    <rPh sb="2" eb="4">
      <t>ニッスウ</t>
    </rPh>
    <phoneticPr fontId="1"/>
  </si>
  <si>
    <t>稼働時間計</t>
    <rPh sb="0" eb="2">
      <t>カドウ</t>
    </rPh>
    <rPh sb="2" eb="4">
      <t>ジカン</t>
    </rPh>
    <phoneticPr fontId="1"/>
  </si>
  <si>
    <t>承認者</t>
    <rPh sb="0" eb="3">
      <t>ショウニンシャ</t>
    </rPh>
    <phoneticPr fontId="1"/>
  </si>
  <si>
    <t>確認者</t>
    <rPh sb="0" eb="2">
      <t>カクニン</t>
    </rPh>
    <rPh sb="2" eb="3">
      <t>シャ</t>
    </rPh>
    <phoneticPr fontId="1"/>
  </si>
  <si>
    <t>報告者</t>
    <rPh sb="0" eb="3">
      <t>ホウコクシャ</t>
    </rPh>
    <phoneticPr fontId="1"/>
  </si>
  <si>
    <t>アイエスサービス</t>
    <phoneticPr fontId="1"/>
  </si>
  <si>
    <t>憲法記念日</t>
  </si>
  <si>
    <t>みどりの日</t>
  </si>
  <si>
    <t>こどもの日</t>
  </si>
  <si>
    <t>振替休日</t>
  </si>
  <si>
    <t>1.年月を入力</t>
    <rPh sb="2" eb="4">
      <t>ネンゲツ</t>
    </rPh>
    <rPh sb="5" eb="7">
      <t>ニュウリョク</t>
    </rPh>
    <phoneticPr fontId="1"/>
  </si>
  <si>
    <t>2.下のボタンを押下</t>
    <rPh sb="2" eb="3">
      <t>シタ</t>
    </rPh>
    <rPh sb="8" eb="10">
      <t>オウカ</t>
    </rPh>
    <phoneticPr fontId="1"/>
  </si>
  <si>
    <t>海の日</t>
  </si>
  <si>
    <t>村山勇太</t>
    <rPh sb="0" eb="2">
      <t>ムラヤマ</t>
    </rPh>
    <rPh sb="2" eb="4">
      <t>ユウタ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</si>
</sst>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aaa"/>
    <numFmt numFmtId="177" formatCode="yyyy/mm/dd"/>
    <numFmt numFmtId="178" formatCode="0.00_);[Red]\(0.00\)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20" fontId="2" fillId="4" borderId="5" xfId="0" applyNumberFormat="1" applyFont="1" applyFill="1" applyBorder="1" applyAlignment="1">
      <alignment horizontal="center" vertical="center"/>
    </xf>
    <xf numFmtId="20" fontId="2" fillId="4" borderId="6" xfId="0" applyNumberFormat="1" applyFont="1" applyFill="1" applyBorder="1" applyAlignment="1">
      <alignment horizontal="center" vertical="center"/>
    </xf>
    <xf numFmtId="20" fontId="2" fillId="4" borderId="1" xfId="0" applyNumberFormat="1" applyFont="1" applyFill="1" applyBorder="1" applyAlignment="1">
      <alignment horizontal="center" vertical="center"/>
    </xf>
    <xf numFmtId="2" fontId="2" fillId="4" borderId="1" xfId="0" applyNumberFormat="1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20" fontId="2" fillId="5" borderId="5" xfId="0" applyNumberFormat="1" applyFont="1" applyFill="1" applyBorder="1" applyAlignment="1">
      <alignment horizontal="center" vertical="center"/>
    </xf>
    <xf numFmtId="20" fontId="2" fillId="5" borderId="6" xfId="0" applyNumberFormat="1" applyFont="1" applyFill="1" applyBorder="1" applyAlignment="1">
      <alignment horizontal="center" vertical="center"/>
    </xf>
    <xf numFmtId="20" fontId="2" fillId="5" borderId="1" xfId="0" applyNumberFormat="1" applyFont="1" applyFill="1" applyBorder="1" applyAlignment="1">
      <alignment horizontal="center" vertical="center"/>
    </xf>
    <xf numFmtId="2" fontId="2" fillId="5" borderId="1" xfId="0" applyNumberFormat="1" applyFont="1" applyFill="1" applyBorder="1" applyAlignment="1">
      <alignment horizontal="center" vertical="center"/>
    </xf>
    <xf numFmtId="178" fontId="3" fillId="0" borderId="1" xfId="0" applyNumberFormat="1" applyFont="1" applyBorder="1">
      <alignment vertical="center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5" borderId="7" xfId="0" applyFont="1" applyFill="1" applyBorder="1">
      <alignment vertical="center"/>
    </xf>
    <xf numFmtId="0" fontId="2" fillId="5" borderId="8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4" borderId="8" xfId="0" applyFont="1" applyFill="1" applyBorder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left" vertical="center"/>
    </xf>
    <xf numFmtId="0" fontId="2" fillId="4" borderId="8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3</xdr:row>
      <xdr:rowOff>28575</xdr:rowOff>
    </xdr:from>
    <xdr:to>
      <xdr:col>9</xdr:col>
      <xdr:colOff>723900</xdr:colOff>
      <xdr:row>4</xdr:row>
      <xdr:rowOff>28575</xdr:rowOff>
    </xdr:to>
    <xdr:sp macro="[0]!clear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332CF553-39FC-9FD8-D78C-1B13744B14F2}"/>
            </a:ext>
          </a:extLst>
        </xdr:cNvPr>
        <xdr:cNvSpPr/>
      </xdr:nvSpPr>
      <xdr:spPr>
        <a:xfrm>
          <a:off x="8829675" y="828675"/>
          <a:ext cx="55245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80F76-1C4B-4919-BF09-00122D0B00BB}">
  <sheetPr codeName="Sheet82">
    <pageSetUpPr fitToPage="1"/>
  </sheetPr>
  <dimension ref="A1:I41"/>
  <sheetViews>
    <sheetView tabSelected="1" view="pageBreakPreview" zoomScaleNormal="100" zoomScaleSheetLayoutView="100" workbookViewId="0">
      <pane ySplit="4" topLeftCell="A19" activePane="bottomLeft" state="frozen"/>
      <selection activeCell="G20" sqref="G20:H20"/>
      <selection pane="bottomLeft" activeCell="E23" sqref="E23"/>
    </sheetView>
  </sheetViews>
  <sheetFormatPr defaultColWidth="12.6640625" defaultRowHeight="21" customHeight="1" x14ac:dyDescent="0.2"/>
  <cols>
    <col min="1" max="16384" width="12.6640625" style="1"/>
  </cols>
  <sheetData>
    <row r="1" spans="1:9" ht="21" customHeight="1" x14ac:dyDescent="0.2">
      <c r="F1" s="2" t="s">
        <v>0</v>
      </c>
      <c r="G1" s="36" t="s">
        <v>16</v>
      </c>
      <c r="H1" s="36"/>
    </row>
    <row r="2" spans="1:9" ht="21" customHeight="1" x14ac:dyDescent="0.2">
      <c r="A2" s="11">
        <v>2026</v>
      </c>
      <c r="B2" s="2" t="s">
        <v>1</v>
      </c>
      <c r="C2" s="11">
        <v>6</v>
      </c>
      <c r="D2" s="2" t="s">
        <v>2</v>
      </c>
      <c r="F2" s="2" t="s">
        <v>3</v>
      </c>
      <c r="G2" s="36" t="s">
        <v>24</v>
      </c>
      <c r="H2" s="36"/>
    </row>
    <row r="4" spans="1:9" ht="21" customHeight="1" x14ac:dyDescent="0.2">
      <c r="A4" s="2" t="s">
        <v>4</v>
      </c>
      <c r="B4" s="2" t="s">
        <v>5</v>
      </c>
      <c r="C4" s="3" t="s">
        <v>6</v>
      </c>
      <c r="D4" s="4" t="s">
        <v>7</v>
      </c>
      <c r="E4" s="2" t="s">
        <v>8</v>
      </c>
      <c r="F4" s="2" t="s">
        <v>9</v>
      </c>
      <c r="G4" s="37" t="s">
        <v>10</v>
      </c>
      <c r="H4" s="38"/>
    </row>
    <row r="5" spans="1:9" ht="21" customHeight="1" x14ac:dyDescent="0.2">
      <c r="A5" s="12">
        <f>IF(MONTH(DATE(A$2,C$2,ROW()-4))=C$2,DATE(A$2,C$2,ROW()-4),"")</f>
        <v>46174</v>
      </c>
      <c r="B5" s="13">
        <f>IF(A5="","",WEEKDAY(A5))</f>
        <v>2</v>
      </c>
      <c r="C5" s="14">
        <v>0.375</v>
      </c>
      <c r="D5" s="15">
        <v>0.73958333333333337</v>
      </c>
      <c r="E5" s="16">
        <v>4.1666666666666664E-2</v>
      </c>
      <c r="F5" s="17">
        <f>IF(OR(C5="",D5=""),"",(D5-C5-E5)*24)</f>
        <v>7.75</v>
      </c>
      <c r="G5" s="39"/>
      <c r="H5" s="40"/>
      <c r="I5"/>
    </row>
    <row r="6" spans="1:9" ht="21" customHeight="1" x14ac:dyDescent="0.2">
      <c r="A6" s="12">
        <f t="shared" ref="A6:A33" si="0">IF(MONTH(DATE(A$2,C$2,ROW()-4))=C$2,DATE(A$2,C$2,ROW()-4),"")</f>
        <v>46175</v>
      </c>
      <c r="B6" s="13">
        <f t="shared" ref="B6:B35" si="1">IF(A6="","",WEEKDAY(A6))</f>
        <v>3</v>
      </c>
      <c r="C6" s="14">
        <v>0.375</v>
      </c>
      <c r="D6" s="15">
        <v>0.70833333333333337</v>
      </c>
      <c r="E6" s="16">
        <v>4.1666666666666664E-2</v>
      </c>
      <c r="F6" s="17">
        <f t="shared" ref="F6:F35" si="2">IF(OR(C6="",D6=""),"",(D6-C6-E6)*24)</f>
        <v>7</v>
      </c>
      <c r="G6" s="31"/>
      <c r="H6" s="32"/>
      <c r="I6"/>
    </row>
    <row r="7" spans="1:9" ht="21" customHeight="1" x14ac:dyDescent="0.2">
      <c r="A7" s="12">
        <f t="shared" si="0"/>
        <v>46176</v>
      </c>
      <c r="B7" s="13">
        <f t="shared" si="1"/>
        <v>4</v>
      </c>
      <c r="C7" s="14">
        <v>0.375</v>
      </c>
      <c r="D7" s="15">
        <v>0.73958333333333337</v>
      </c>
      <c r="E7" s="16">
        <v>4.1666666666666664E-2</v>
      </c>
      <c r="F7" s="17">
        <f t="shared" si="2"/>
        <v>7.75</v>
      </c>
      <c r="G7" s="31"/>
      <c r="H7" s="32"/>
      <c r="I7"/>
    </row>
    <row r="8" spans="1:9" ht="21" customHeight="1" x14ac:dyDescent="0.2">
      <c r="A8" s="12">
        <f t="shared" si="0"/>
        <v>46177</v>
      </c>
      <c r="B8" s="13">
        <f t="shared" si="1"/>
        <v>5</v>
      </c>
      <c r="C8" s="14">
        <v>0.375</v>
      </c>
      <c r="D8" s="15">
        <v>0.73958333333333337</v>
      </c>
      <c r="E8" s="16">
        <v>4.1666666666666664E-2</v>
      </c>
      <c r="F8" s="17">
        <f t="shared" si="2"/>
        <v>7.75</v>
      </c>
      <c r="G8" s="31"/>
      <c r="H8" s="32"/>
      <c r="I8" s="28"/>
    </row>
    <row r="9" spans="1:9" ht="21" customHeight="1" x14ac:dyDescent="0.2">
      <c r="A9" s="12">
        <f t="shared" si="0"/>
        <v>46178</v>
      </c>
      <c r="B9" s="13">
        <f t="shared" si="1"/>
        <v>6</v>
      </c>
      <c r="C9" s="14">
        <v>0.375</v>
      </c>
      <c r="D9" s="15">
        <v>0.73958333333333337</v>
      </c>
      <c r="E9" s="16">
        <v>4.1666666666666664E-2</v>
      </c>
      <c r="F9" s="17">
        <f t="shared" si="2"/>
        <v>7.75</v>
      </c>
      <c r="G9" s="31"/>
      <c r="H9" s="32"/>
      <c r="I9" s="28"/>
    </row>
    <row r="10" spans="1:9" ht="21" customHeight="1" x14ac:dyDescent="0.2">
      <c r="A10" s="18">
        <f t="shared" si="0"/>
        <v>46179</v>
      </c>
      <c r="B10" s="19">
        <f t="shared" si="1"/>
        <v>7</v>
      </c>
      <c r="C10" s="20"/>
      <c r="D10" s="21"/>
      <c r="E10" s="22"/>
      <c r="F10" s="23" t="str">
        <f t="shared" si="2"/>
        <v/>
      </c>
      <c r="G10" s="29"/>
      <c r="H10" s="30"/>
      <c r="I10" s="28"/>
    </row>
    <row r="11" spans="1:9" ht="21" customHeight="1" x14ac:dyDescent="0.2">
      <c r="A11" s="18">
        <f t="shared" si="0"/>
        <v>46180</v>
      </c>
      <c r="B11" s="19">
        <f t="shared" si="1"/>
        <v>1</v>
      </c>
      <c r="C11" s="20"/>
      <c r="D11" s="21"/>
      <c r="E11" s="22"/>
      <c r="F11" s="23" t="str">
        <f t="shared" si="2"/>
        <v/>
      </c>
      <c r="G11" s="29"/>
      <c r="H11" s="30"/>
      <c r="I11" s="28"/>
    </row>
    <row r="12" spans="1:9" ht="21" customHeight="1" x14ac:dyDescent="0.2">
      <c r="A12" s="12">
        <f t="shared" si="0"/>
        <v>46181</v>
      </c>
      <c r="B12" s="13">
        <f t="shared" si="1"/>
        <v>2</v>
      </c>
      <c r="C12" s="14">
        <v>0.375</v>
      </c>
      <c r="D12" s="15">
        <v>0.73958333333333337</v>
      </c>
      <c r="E12" s="16">
        <v>4.1666666666666664E-2</v>
      </c>
      <c r="F12" s="17">
        <f t="shared" si="2"/>
        <v>7.75</v>
      </c>
      <c r="G12" s="31"/>
      <c r="H12" s="32"/>
      <c r="I12" s="28"/>
    </row>
    <row r="13" spans="1:9" ht="21" customHeight="1" x14ac:dyDescent="0.2">
      <c r="A13" s="12">
        <f t="shared" si="0"/>
        <v>46182</v>
      </c>
      <c r="B13" s="13">
        <f t="shared" si="1"/>
        <v>3</v>
      </c>
      <c r="C13" s="14">
        <v>0.375</v>
      </c>
      <c r="D13" s="15">
        <v>0.58333333333333337</v>
      </c>
      <c r="E13" s="16">
        <v>4.1666666666666664E-2</v>
      </c>
      <c r="F13" s="17">
        <f t="shared" si="2"/>
        <v>4.0000000000000009</v>
      </c>
      <c r="G13" s="31"/>
      <c r="H13" s="32"/>
      <c r="I13" s="28"/>
    </row>
    <row r="14" spans="1:9" ht="21" customHeight="1" x14ac:dyDescent="0.2">
      <c r="A14" s="12">
        <f t="shared" si="0"/>
        <v>46183</v>
      </c>
      <c r="B14" s="13">
        <f t="shared" si="1"/>
        <v>4</v>
      </c>
      <c r="C14" s="14">
        <v>0.375</v>
      </c>
      <c r="D14" s="15">
        <v>0.73958333333333337</v>
      </c>
      <c r="E14" s="16">
        <v>4.1666666666666664E-2</v>
      </c>
      <c r="F14" s="17">
        <f t="shared" si="2"/>
        <v>7.75</v>
      </c>
      <c r="G14" s="31"/>
      <c r="H14" s="32"/>
      <c r="I14" s="28"/>
    </row>
    <row r="15" spans="1:9" ht="21" customHeight="1" x14ac:dyDescent="0.2">
      <c r="A15" s="12">
        <f t="shared" si="0"/>
        <v>46184</v>
      </c>
      <c r="B15" s="13">
        <f t="shared" si="1"/>
        <v>5</v>
      </c>
      <c r="C15" s="14">
        <v>0.375</v>
      </c>
      <c r="D15" s="15">
        <v>0.73958333333333337</v>
      </c>
      <c r="E15" s="16">
        <v>4.1666666666666664E-2</v>
      </c>
      <c r="F15" s="17">
        <f t="shared" si="2"/>
        <v>7.75</v>
      </c>
      <c r="G15" s="31"/>
      <c r="H15" s="32"/>
      <c r="I15" s="28"/>
    </row>
    <row r="16" spans="1:9" ht="21" customHeight="1" x14ac:dyDescent="0.2">
      <c r="A16" s="12">
        <f t="shared" si="0"/>
        <v>46185</v>
      </c>
      <c r="B16" s="13">
        <f t="shared" si="1"/>
        <v>6</v>
      </c>
      <c r="C16" s="14">
        <v>0.375</v>
      </c>
      <c r="D16" s="15">
        <v>0.73958333333333337</v>
      </c>
      <c r="E16" s="16">
        <v>4.1666666666666664E-2</v>
      </c>
      <c r="F16" s="17">
        <f t="shared" si="2"/>
        <v>7.75</v>
      </c>
      <c r="G16" s="31"/>
      <c r="H16" s="32"/>
      <c r="I16" s="28"/>
    </row>
    <row r="17" spans="1:9" ht="21" customHeight="1" x14ac:dyDescent="0.2">
      <c r="A17" s="18">
        <f t="shared" si="0"/>
        <v>46186</v>
      </c>
      <c r="B17" s="19">
        <f t="shared" si="1"/>
        <v>7</v>
      </c>
      <c r="C17" s="20"/>
      <c r="D17" s="21"/>
      <c r="E17" s="22"/>
      <c r="F17" s="23" t="str">
        <f t="shared" si="2"/>
        <v/>
      </c>
      <c r="G17" s="29"/>
      <c r="H17" s="30"/>
      <c r="I17" s="28"/>
    </row>
    <row r="18" spans="1:9" ht="21" customHeight="1" x14ac:dyDescent="0.2">
      <c r="A18" s="18">
        <f t="shared" si="0"/>
        <v>46187</v>
      </c>
      <c r="B18" s="19">
        <f t="shared" si="1"/>
        <v>1</v>
      </c>
      <c r="C18" s="20"/>
      <c r="D18" s="21"/>
      <c r="E18" s="22"/>
      <c r="F18" s="23" t="str">
        <f t="shared" si="2"/>
        <v/>
      </c>
      <c r="G18" s="29"/>
      <c r="H18" s="30"/>
      <c r="I18" s="27"/>
    </row>
    <row r="19" spans="1:9" ht="21" customHeight="1" x14ac:dyDescent="0.2">
      <c r="A19" s="12">
        <f t="shared" si="0"/>
        <v>46188</v>
      </c>
      <c r="B19" s="13">
        <f t="shared" si="1"/>
        <v>2</v>
      </c>
      <c r="C19" s="14">
        <v>0.375</v>
      </c>
      <c r="D19" s="15">
        <v>0.73958333333333337</v>
      </c>
      <c r="E19" s="16">
        <v>4.1666666666666664E-2</v>
      </c>
      <c r="F19" s="17">
        <f t="shared" si="2"/>
        <v>7.75</v>
      </c>
      <c r="G19" s="31"/>
      <c r="H19" s="32"/>
    </row>
    <row r="20" spans="1:9" ht="21" customHeight="1" x14ac:dyDescent="0.2">
      <c r="A20" s="12">
        <f t="shared" si="0"/>
        <v>46189</v>
      </c>
      <c r="B20" s="13">
        <f t="shared" si="1"/>
        <v>3</v>
      </c>
      <c r="C20" s="14">
        <v>0.375</v>
      </c>
      <c r="D20" s="15">
        <v>0.73958333333333337</v>
      </c>
      <c r="E20" s="16">
        <v>4.1666666666666664E-2</v>
      </c>
      <c r="F20" s="17">
        <f t="shared" si="2"/>
        <v>7.75</v>
      </c>
      <c r="G20" s="31"/>
      <c r="H20" s="32"/>
    </row>
    <row r="21" spans="1:9" ht="21" customHeight="1" x14ac:dyDescent="0.2">
      <c r="A21" s="12">
        <f t="shared" si="0"/>
        <v>46190</v>
      </c>
      <c r="B21" s="13">
        <f t="shared" si="1"/>
        <v>4</v>
      </c>
      <c r="C21" s="14">
        <v>0.375</v>
      </c>
      <c r="D21" s="15">
        <v>0.73958333333333337</v>
      </c>
      <c r="E21" s="16">
        <v>4.1666666666666664E-2</v>
      </c>
      <c r="F21" s="17">
        <f t="shared" si="2"/>
        <v>7.75</v>
      </c>
      <c r="G21" s="31"/>
      <c r="H21" s="32"/>
    </row>
    <row r="22" spans="1:9" ht="21" customHeight="1" x14ac:dyDescent="0.2">
      <c r="A22" s="12">
        <f t="shared" si="0"/>
        <v>46191</v>
      </c>
      <c r="B22" s="13">
        <f t="shared" si="1"/>
        <v>5</v>
      </c>
      <c r="C22" s="14">
        <v>0.375</v>
      </c>
      <c r="D22" s="15">
        <v>0.73958333333333337</v>
      </c>
      <c r="E22" s="16">
        <v>4.1666666666666664E-2</v>
      </c>
      <c r="F22" s="17">
        <f t="shared" si="2"/>
        <v>7.75</v>
      </c>
      <c r="G22" s="31"/>
      <c r="H22" s="32"/>
    </row>
    <row r="23" spans="1:9" ht="21" customHeight="1" x14ac:dyDescent="0.2">
      <c r="A23" s="12">
        <f t="shared" si="0"/>
        <v>46192</v>
      </c>
      <c r="B23" s="13">
        <f t="shared" si="1"/>
        <v>6</v>
      </c>
      <c r="C23" s="14"/>
      <c r="D23" s="15"/>
      <c r="E23" s="16"/>
      <c r="F23" s="17" t="str">
        <f t="shared" si="2"/>
        <v/>
      </c>
      <c r="G23" s="31"/>
      <c r="H23" s="32"/>
    </row>
    <row r="24" spans="1:9" ht="21" customHeight="1" x14ac:dyDescent="0.2">
      <c r="A24" s="18">
        <f t="shared" si="0"/>
        <v>46193</v>
      </c>
      <c r="B24" s="19">
        <f t="shared" si="1"/>
        <v>7</v>
      </c>
      <c r="C24" s="20"/>
      <c r="D24" s="21"/>
      <c r="E24" s="22"/>
      <c r="F24" s="23" t="str">
        <f t="shared" si="2"/>
        <v/>
      </c>
      <c r="G24" s="29"/>
      <c r="H24" s="30"/>
    </row>
    <row r="25" spans="1:9" ht="21" customHeight="1" x14ac:dyDescent="0.2">
      <c r="A25" s="18">
        <f t="shared" si="0"/>
        <v>46194</v>
      </c>
      <c r="B25" s="19">
        <f t="shared" si="1"/>
        <v>1</v>
      </c>
      <c r="C25" s="20"/>
      <c r="D25" s="21"/>
      <c r="E25" s="22"/>
      <c r="F25" s="23" t="str">
        <f t="shared" si="2"/>
        <v/>
      </c>
      <c r="G25" s="29"/>
      <c r="H25" s="30"/>
    </row>
    <row r="26" spans="1:9" ht="21" customHeight="1" x14ac:dyDescent="0.2">
      <c r="A26" s="12">
        <f t="shared" si="0"/>
        <v>46195</v>
      </c>
      <c r="B26" s="13">
        <f t="shared" si="1"/>
        <v>2</v>
      </c>
      <c r="C26" s="14"/>
      <c r="D26" s="15"/>
      <c r="E26" s="16"/>
      <c r="F26" s="17" t="str">
        <f t="shared" si="2"/>
        <v/>
      </c>
      <c r="G26" s="31"/>
      <c r="H26" s="32"/>
    </row>
    <row r="27" spans="1:9" ht="21" customHeight="1" x14ac:dyDescent="0.2">
      <c r="A27" s="12">
        <f t="shared" si="0"/>
        <v>46196</v>
      </c>
      <c r="B27" s="13">
        <f t="shared" si="1"/>
        <v>3</v>
      </c>
      <c r="C27" s="14"/>
      <c r="D27" s="15"/>
      <c r="E27" s="16"/>
      <c r="F27" s="17" t="str">
        <f t="shared" si="2"/>
        <v/>
      </c>
      <c r="G27" s="31"/>
      <c r="H27" s="32"/>
    </row>
    <row r="28" spans="1:9" ht="21" customHeight="1" x14ac:dyDescent="0.2">
      <c r="A28" s="12">
        <f t="shared" si="0"/>
        <v>46197</v>
      </c>
      <c r="B28" s="13">
        <f t="shared" si="1"/>
        <v>4</v>
      </c>
      <c r="C28" s="14"/>
      <c r="D28" s="15"/>
      <c r="E28" s="16"/>
      <c r="F28" s="17" t="str">
        <f t="shared" si="2"/>
        <v/>
      </c>
      <c r="G28" s="31"/>
      <c r="H28" s="32"/>
    </row>
    <row r="29" spans="1:9" ht="21" customHeight="1" x14ac:dyDescent="0.2">
      <c r="A29" s="12">
        <f t="shared" si="0"/>
        <v>46198</v>
      </c>
      <c r="B29" s="13">
        <f t="shared" si="1"/>
        <v>5</v>
      </c>
      <c r="C29" s="14"/>
      <c r="D29" s="15"/>
      <c r="E29" s="16"/>
      <c r="F29" s="17" t="str">
        <f t="shared" si="2"/>
        <v/>
      </c>
      <c r="G29" s="31"/>
      <c r="H29" s="32"/>
    </row>
    <row r="30" spans="1:9" ht="21" customHeight="1" x14ac:dyDescent="0.2">
      <c r="A30" s="12">
        <f t="shared" si="0"/>
        <v>46199</v>
      </c>
      <c r="B30" s="13">
        <f t="shared" si="1"/>
        <v>6</v>
      </c>
      <c r="C30" s="14"/>
      <c r="D30" s="15"/>
      <c r="E30" s="16"/>
      <c r="F30" s="17" t="str">
        <f t="shared" si="2"/>
        <v/>
      </c>
      <c r="G30" s="31"/>
      <c r="H30" s="32"/>
    </row>
    <row r="31" spans="1:9" ht="21" customHeight="1" x14ac:dyDescent="0.2">
      <c r="A31" s="18">
        <f t="shared" si="0"/>
        <v>46200</v>
      </c>
      <c r="B31" s="19">
        <f t="shared" si="1"/>
        <v>7</v>
      </c>
      <c r="C31" s="20"/>
      <c r="D31" s="21"/>
      <c r="E31" s="22"/>
      <c r="F31" s="23" t="str">
        <f t="shared" si="2"/>
        <v/>
      </c>
      <c r="G31" s="29"/>
      <c r="H31" s="30"/>
    </row>
    <row r="32" spans="1:9" ht="21" customHeight="1" x14ac:dyDescent="0.2">
      <c r="A32" s="18">
        <f t="shared" si="0"/>
        <v>46201</v>
      </c>
      <c r="B32" s="19">
        <f t="shared" si="1"/>
        <v>1</v>
      </c>
      <c r="C32" s="20"/>
      <c r="D32" s="21"/>
      <c r="E32" s="22"/>
      <c r="F32" s="23" t="str">
        <f t="shared" si="2"/>
        <v/>
      </c>
      <c r="G32" s="29"/>
      <c r="H32" s="30"/>
    </row>
    <row r="33" spans="1:8" ht="21" customHeight="1" x14ac:dyDescent="0.2">
      <c r="A33" s="12">
        <f t="shared" si="0"/>
        <v>46202</v>
      </c>
      <c r="B33" s="13">
        <f t="shared" si="1"/>
        <v>2</v>
      </c>
      <c r="C33" s="14"/>
      <c r="D33" s="15"/>
      <c r="E33" s="16"/>
      <c r="F33" s="17" t="str">
        <f t="shared" si="2"/>
        <v/>
      </c>
      <c r="G33" s="31"/>
      <c r="H33" s="32"/>
    </row>
    <row r="34" spans="1:8" ht="21" customHeight="1" x14ac:dyDescent="0.2">
      <c r="A34" s="12">
        <f>IF(MONTH(DATE(A$2,C$2,ROW()-4))=C$2,DATE(A$2,C$2,ROW()-4),"")</f>
        <v>46203</v>
      </c>
      <c r="B34" s="13">
        <f t="shared" si="1"/>
        <v>3</v>
      </c>
      <c r="C34" s="14"/>
      <c r="D34" s="15"/>
      <c r="E34" s="16"/>
      <c r="F34" s="17" t="str">
        <f t="shared" si="2"/>
        <v/>
      </c>
      <c r="G34" s="31"/>
      <c r="H34" s="32"/>
    </row>
    <row r="35" spans="1:8" ht="21" customHeight="1" x14ac:dyDescent="0.2">
      <c r="A35" s="12" t="str">
        <f>IF(MONTH(DATE(A$2,C$2,ROW()-4))=C$2,DATE(A$2,C$2,ROW()-4),"")</f>
        <v/>
      </c>
      <c r="B35" s="13" t="str">
        <f t="shared" si="1"/>
        <v/>
      </c>
      <c r="C35" s="14"/>
      <c r="D35" s="15"/>
      <c r="E35" s="16"/>
      <c r="F35" s="17" t="str">
        <f t="shared" si="2"/>
        <v/>
      </c>
      <c r="G35" s="31"/>
      <c r="H35" s="32"/>
    </row>
    <row r="36" spans="1:8" ht="21" customHeight="1" x14ac:dyDescent="0.2">
      <c r="C36" s="5" t="s">
        <v>11</v>
      </c>
      <c r="D36" s="6">
        <f>COUNTA($D$5:$D$35)</f>
        <v>14</v>
      </c>
      <c r="E36" s="5" t="s">
        <v>12</v>
      </c>
      <c r="F36" s="7">
        <f>SUM($F$5:$F$35)</f>
        <v>104</v>
      </c>
      <c r="G36" s="24">
        <f>SUM($F$36,$E$39:$E$41)</f>
        <v>104</v>
      </c>
    </row>
    <row r="37" spans="1:8" ht="21" customHeight="1" x14ac:dyDescent="0.2">
      <c r="C37" s="8"/>
      <c r="D37" s="8"/>
      <c r="E37" s="9"/>
    </row>
    <row r="38" spans="1:8" ht="21" customHeight="1" x14ac:dyDescent="0.2">
      <c r="C38" s="8"/>
      <c r="D38" s="8"/>
      <c r="E38" s="10"/>
      <c r="F38" s="5" t="s">
        <v>13</v>
      </c>
      <c r="G38" s="5" t="s">
        <v>14</v>
      </c>
      <c r="H38" s="5" t="s">
        <v>15</v>
      </c>
    </row>
    <row r="39" spans="1:8" ht="21" customHeight="1" x14ac:dyDescent="0.2">
      <c r="C39" s="25"/>
      <c r="D39" s="8"/>
      <c r="E39" s="26"/>
      <c r="F39" s="33"/>
      <c r="G39" s="33"/>
      <c r="H39" s="33"/>
    </row>
    <row r="40" spans="1:8" ht="21" customHeight="1" x14ac:dyDescent="0.2">
      <c r="C40" s="8"/>
      <c r="D40" s="8"/>
      <c r="E40" s="26"/>
      <c r="F40" s="34"/>
      <c r="G40" s="34"/>
      <c r="H40" s="34"/>
    </row>
    <row r="41" spans="1:8" ht="21" customHeight="1" x14ac:dyDescent="0.2">
      <c r="C41" s="8"/>
      <c r="D41" s="8"/>
      <c r="E41" s="26"/>
      <c r="F41" s="35"/>
      <c r="G41" s="35"/>
      <c r="H41" s="35"/>
    </row>
  </sheetData>
  <mergeCells count="37">
    <mergeCell ref="G7:H7"/>
    <mergeCell ref="G1:H1"/>
    <mergeCell ref="G2:H2"/>
    <mergeCell ref="G4:H4"/>
    <mergeCell ref="G5:H5"/>
    <mergeCell ref="G6:H6"/>
    <mergeCell ref="G19:H19"/>
    <mergeCell ref="G8:H8"/>
    <mergeCell ref="G9:H9"/>
    <mergeCell ref="G10:H10"/>
    <mergeCell ref="G11:H11"/>
    <mergeCell ref="G12:H12"/>
    <mergeCell ref="G13:H13"/>
    <mergeCell ref="G14:H14"/>
    <mergeCell ref="G15:H15"/>
    <mergeCell ref="G16:H16"/>
    <mergeCell ref="G17:H17"/>
    <mergeCell ref="G18:H18"/>
    <mergeCell ref="G31:H31"/>
    <mergeCell ref="G20:H20"/>
    <mergeCell ref="G21:H21"/>
    <mergeCell ref="G22:H22"/>
    <mergeCell ref="G23:H23"/>
    <mergeCell ref="G24:H24"/>
    <mergeCell ref="G25:H25"/>
    <mergeCell ref="G26:H26"/>
    <mergeCell ref="G27:H27"/>
    <mergeCell ref="G28:H28"/>
    <mergeCell ref="G29:H29"/>
    <mergeCell ref="G30:H30"/>
    <mergeCell ref="G32:H32"/>
    <mergeCell ref="G33:H33"/>
    <mergeCell ref="G34:H34"/>
    <mergeCell ref="G35:H35"/>
    <mergeCell ref="F39:F41"/>
    <mergeCell ref="G39:G41"/>
    <mergeCell ref="H39:H41"/>
  </mergeCells>
  <phoneticPr fontId="1"/>
  <dataValidations count="1">
    <dataValidation imeMode="disabled" allowBlank="1" showInputMessage="1" showErrorMessage="1" sqref="C5:F35" xr:uid="{C4871287-23B5-4918-A224-DD07C72F8A5C}"/>
  </dataValidations>
  <pageMargins left="0.59055118110236227" right="0.59055118110236227" top="1.1811023622047245" bottom="0.39370078740157483" header="0.78740157480314965" footer="0.39370078740157483"/>
  <pageSetup paperSize="9" scale="90" orientation="portrait" r:id="rId1"/>
  <headerFooter>
    <oddHeader>&amp;L&amp;"ＭＳ ゴシック,太字"&amp;20&amp;U稼働報告書</oddHeader>
    <oddFooter>&amp;R&amp;"ＭＳ ゴシック,標準"&amp;9株式会社　アイエスサービス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BEE30-D436-44D5-AA64-663BD2B352CD}">
  <sheetPr codeName="Sheet84">
    <pageSetUpPr fitToPage="1"/>
  </sheetPr>
  <dimension ref="A1:I41"/>
  <sheetViews>
    <sheetView view="pageBreakPreview" zoomScaleNormal="100" zoomScaleSheetLayoutView="100" workbookViewId="0">
      <pane ySplit="4" topLeftCell="A5" activePane="bottomLeft" state="frozen"/>
      <selection activeCell="G20" sqref="G20:H20"/>
      <selection pane="bottomLeft"/>
    </sheetView>
  </sheetViews>
  <sheetFormatPr defaultColWidth="12.6640625" defaultRowHeight="21" customHeight="1" x14ac:dyDescent="0.2"/>
  <cols>
    <col min="1" max="16384" width="12.6640625" style="1"/>
  </cols>
  <sheetData>
    <row r="1" spans="1:9" ht="21" customHeight="1" x14ac:dyDescent="0.2">
      <c r="F1" s="2" t="s">
        <v>0</v>
      </c>
      <c r="G1" s="36" t="s">
        <v>16</v>
      </c>
      <c r="H1" s="36"/>
    </row>
    <row r="2" spans="1:9" ht="21" customHeight="1" x14ac:dyDescent="0.2">
      <c r="A2" s="11">
        <v>2026</v>
      </c>
      <c r="B2" s="2" t="s">
        <v>1</v>
      </c>
      <c r="C2" s="11">
        <v>7</v>
      </c>
      <c r="D2" s="2" t="s">
        <v>2</v>
      </c>
      <c r="F2" s="2" t="s">
        <v>3</v>
      </c>
      <c r="G2" s="36" t="s">
        <v>24</v>
      </c>
      <c r="H2" s="36"/>
    </row>
    <row r="4" spans="1:9" ht="21" customHeight="1" x14ac:dyDescent="0.2">
      <c r="A4" s="2" t="s">
        <v>4</v>
      </c>
      <c r="B4" s="2" t="s">
        <v>5</v>
      </c>
      <c r="C4" s="3" t="s">
        <v>6</v>
      </c>
      <c r="D4" s="4" t="s">
        <v>7</v>
      </c>
      <c r="E4" s="2" t="s">
        <v>8</v>
      </c>
      <c r="F4" s="2" t="s">
        <v>9</v>
      </c>
      <c r="G4" s="37" t="s">
        <v>10</v>
      </c>
      <c r="H4" s="38"/>
    </row>
    <row r="5" spans="1:9" ht="21" customHeight="1" x14ac:dyDescent="0.2">
      <c r="A5" s="12">
        <f>IF(MONTH(DATE(A$2,C$2,ROW()-4))=C$2,DATE(A$2,C$2,ROW()-4),"")</f>
        <v>46204</v>
      </c>
      <c r="B5" s="13">
        <f>IF(A5="","",WEEKDAY(A5))</f>
        <v>4</v>
      </c>
      <c r="C5" s="14"/>
      <c r="D5" s="15"/>
      <c r="E5" s="16"/>
      <c r="F5" s="17" t="str">
        <f>IF(OR(C5="",D5=""),"",(D5-C5-E5)*24)</f>
        <v/>
      </c>
      <c r="G5" s="39"/>
      <c r="H5" s="40"/>
      <c r="I5"/>
    </row>
    <row r="6" spans="1:9" ht="21" customHeight="1" x14ac:dyDescent="0.2">
      <c r="A6" s="12">
        <f t="shared" ref="A6:A33" si="0">IF(MONTH(DATE(A$2,C$2,ROW()-4))=C$2,DATE(A$2,C$2,ROW()-4),"")</f>
        <v>46205</v>
      </c>
      <c r="B6" s="13">
        <f t="shared" ref="B6:B35" si="1">IF(A6="","",WEEKDAY(A6))</f>
        <v>5</v>
      </c>
      <c r="C6" s="14"/>
      <c r="D6" s="15"/>
      <c r="E6" s="16"/>
      <c r="F6" s="17" t="str">
        <f t="shared" ref="F6:F35" si="2">IF(OR(C6="",D6=""),"",(D6-C6-E6)*24)</f>
        <v/>
      </c>
      <c r="G6" s="31"/>
      <c r="H6" s="32"/>
      <c r="I6"/>
    </row>
    <row r="7" spans="1:9" ht="21" customHeight="1" x14ac:dyDescent="0.2">
      <c r="A7" s="12">
        <f t="shared" si="0"/>
        <v>46206</v>
      </c>
      <c r="B7" s="13">
        <f t="shared" si="1"/>
        <v>6</v>
      </c>
      <c r="C7" s="14"/>
      <c r="D7" s="15"/>
      <c r="E7" s="16"/>
      <c r="F7" s="17" t="str">
        <f t="shared" si="2"/>
        <v/>
      </c>
      <c r="G7" s="31"/>
      <c r="H7" s="32"/>
      <c r="I7"/>
    </row>
    <row r="8" spans="1:9" ht="21" customHeight="1" x14ac:dyDescent="0.2">
      <c r="A8" s="18">
        <f t="shared" si="0"/>
        <v>46207</v>
      </c>
      <c r="B8" s="19">
        <f t="shared" si="1"/>
        <v>7</v>
      </c>
      <c r="C8" s="20"/>
      <c r="D8" s="21"/>
      <c r="E8" s="22"/>
      <c r="F8" s="23" t="str">
        <f t="shared" si="2"/>
        <v/>
      </c>
      <c r="G8" s="29"/>
      <c r="H8" s="30"/>
      <c r="I8" s="28"/>
    </row>
    <row r="9" spans="1:9" ht="21" customHeight="1" x14ac:dyDescent="0.2">
      <c r="A9" s="18">
        <f t="shared" si="0"/>
        <v>46208</v>
      </c>
      <c r="B9" s="19">
        <f t="shared" si="1"/>
        <v>1</v>
      </c>
      <c r="C9" s="20"/>
      <c r="D9" s="21"/>
      <c r="E9" s="22"/>
      <c r="F9" s="23" t="str">
        <f t="shared" si="2"/>
        <v/>
      </c>
      <c r="G9" s="29"/>
      <c r="H9" s="30"/>
      <c r="I9" s="28"/>
    </row>
    <row r="10" spans="1:9" ht="21" customHeight="1" x14ac:dyDescent="0.2">
      <c r="A10" s="12">
        <f t="shared" si="0"/>
        <v>46209</v>
      </c>
      <c r="B10" s="13">
        <f t="shared" si="1"/>
        <v>2</v>
      </c>
      <c r="C10" s="14"/>
      <c r="D10" s="15"/>
      <c r="E10" s="16"/>
      <c r="F10" s="17" t="str">
        <f t="shared" si="2"/>
        <v/>
      </c>
      <c r="G10" s="31"/>
      <c r="H10" s="32"/>
      <c r="I10" s="28"/>
    </row>
    <row r="11" spans="1:9" ht="21" customHeight="1" x14ac:dyDescent="0.2">
      <c r="A11" s="12">
        <f t="shared" si="0"/>
        <v>46210</v>
      </c>
      <c r="B11" s="13">
        <f t="shared" si="1"/>
        <v>3</v>
      </c>
      <c r="C11" s="14"/>
      <c r="D11" s="15"/>
      <c r="E11" s="16"/>
      <c r="F11" s="17" t="str">
        <f t="shared" si="2"/>
        <v/>
      </c>
      <c r="G11" s="31"/>
      <c r="H11" s="32"/>
      <c r="I11" s="28"/>
    </row>
    <row r="12" spans="1:9" ht="21" customHeight="1" x14ac:dyDescent="0.2">
      <c r="A12" s="12">
        <f t="shared" si="0"/>
        <v>46211</v>
      </c>
      <c r="B12" s="13">
        <f t="shared" si="1"/>
        <v>4</v>
      </c>
      <c r="C12" s="14"/>
      <c r="D12" s="15"/>
      <c r="E12" s="16"/>
      <c r="F12" s="17" t="str">
        <f t="shared" si="2"/>
        <v/>
      </c>
      <c r="G12" s="31"/>
      <c r="H12" s="32"/>
      <c r="I12" s="28"/>
    </row>
    <row r="13" spans="1:9" ht="21" customHeight="1" x14ac:dyDescent="0.2">
      <c r="A13" s="12">
        <f t="shared" si="0"/>
        <v>46212</v>
      </c>
      <c r="B13" s="13">
        <f t="shared" si="1"/>
        <v>5</v>
      </c>
      <c r="C13" s="14"/>
      <c r="D13" s="15"/>
      <c r="E13" s="16"/>
      <c r="F13" s="17" t="str">
        <f t="shared" si="2"/>
        <v/>
      </c>
      <c r="G13" s="31"/>
      <c r="H13" s="32"/>
      <c r="I13" s="28"/>
    </row>
    <row r="14" spans="1:9" ht="21" customHeight="1" x14ac:dyDescent="0.2">
      <c r="A14" s="12">
        <f t="shared" si="0"/>
        <v>46213</v>
      </c>
      <c r="B14" s="13">
        <f t="shared" si="1"/>
        <v>6</v>
      </c>
      <c r="C14" s="14"/>
      <c r="D14" s="15"/>
      <c r="E14" s="16"/>
      <c r="F14" s="17" t="str">
        <f t="shared" si="2"/>
        <v/>
      </c>
      <c r="G14" s="31"/>
      <c r="H14" s="32"/>
      <c r="I14" s="28"/>
    </row>
    <row r="15" spans="1:9" ht="21" customHeight="1" x14ac:dyDescent="0.2">
      <c r="A15" s="18">
        <f t="shared" si="0"/>
        <v>46214</v>
      </c>
      <c r="B15" s="19">
        <f t="shared" si="1"/>
        <v>7</v>
      </c>
      <c r="C15" s="20"/>
      <c r="D15" s="21"/>
      <c r="E15" s="22"/>
      <c r="F15" s="23" t="str">
        <f t="shared" si="2"/>
        <v/>
      </c>
      <c r="G15" s="29"/>
      <c r="H15" s="30"/>
      <c r="I15" s="28"/>
    </row>
    <row r="16" spans="1:9" ht="21" customHeight="1" x14ac:dyDescent="0.2">
      <c r="A16" s="18">
        <f t="shared" si="0"/>
        <v>46215</v>
      </c>
      <c r="B16" s="19">
        <f t="shared" si="1"/>
        <v>1</v>
      </c>
      <c r="C16" s="20"/>
      <c r="D16" s="21"/>
      <c r="E16" s="22"/>
      <c r="F16" s="23" t="str">
        <f t="shared" si="2"/>
        <v/>
      </c>
      <c r="G16" s="29"/>
      <c r="H16" s="30"/>
      <c r="I16" s="28"/>
    </row>
    <row r="17" spans="1:9" ht="21" customHeight="1" x14ac:dyDescent="0.2">
      <c r="A17" s="12">
        <f t="shared" si="0"/>
        <v>46216</v>
      </c>
      <c r="B17" s="13">
        <f t="shared" si="1"/>
        <v>2</v>
      </c>
      <c r="C17" s="14"/>
      <c r="D17" s="15"/>
      <c r="E17" s="16"/>
      <c r="F17" s="17" t="str">
        <f t="shared" si="2"/>
        <v/>
      </c>
      <c r="G17" s="31"/>
      <c r="H17" s="32"/>
      <c r="I17" s="28"/>
    </row>
    <row r="18" spans="1:9" ht="21" customHeight="1" x14ac:dyDescent="0.2">
      <c r="A18" s="12">
        <f t="shared" si="0"/>
        <v>46217</v>
      </c>
      <c r="B18" s="13">
        <f t="shared" si="1"/>
        <v>3</v>
      </c>
      <c r="C18" s="14"/>
      <c r="D18" s="15"/>
      <c r="E18" s="16"/>
      <c r="F18" s="17" t="str">
        <f t="shared" si="2"/>
        <v/>
      </c>
      <c r="G18" s="31"/>
      <c r="H18" s="32"/>
      <c r="I18" s="27"/>
    </row>
    <row r="19" spans="1:9" ht="21" customHeight="1" x14ac:dyDescent="0.2">
      <c r="A19" s="12">
        <f t="shared" si="0"/>
        <v>46218</v>
      </c>
      <c r="B19" s="13">
        <f t="shared" si="1"/>
        <v>4</v>
      </c>
      <c r="C19" s="14"/>
      <c r="D19" s="15"/>
      <c r="E19" s="16"/>
      <c r="F19" s="17" t="str">
        <f t="shared" si="2"/>
        <v/>
      </c>
      <c r="G19" s="31"/>
      <c r="H19" s="32"/>
    </row>
    <row r="20" spans="1:9" ht="21" customHeight="1" x14ac:dyDescent="0.2">
      <c r="A20" s="12">
        <f t="shared" si="0"/>
        <v>46219</v>
      </c>
      <c r="B20" s="13">
        <f t="shared" si="1"/>
        <v>5</v>
      </c>
      <c r="C20" s="14"/>
      <c r="D20" s="15"/>
      <c r="E20" s="16"/>
      <c r="F20" s="17" t="str">
        <f t="shared" si="2"/>
        <v/>
      </c>
      <c r="G20" s="31"/>
      <c r="H20" s="32"/>
    </row>
    <row r="21" spans="1:9" ht="21" customHeight="1" x14ac:dyDescent="0.2">
      <c r="A21" s="12">
        <f t="shared" si="0"/>
        <v>46220</v>
      </c>
      <c r="B21" s="13">
        <f t="shared" si="1"/>
        <v>6</v>
      </c>
      <c r="C21" s="14"/>
      <c r="D21" s="15"/>
      <c r="E21" s="16"/>
      <c r="F21" s="17" t="str">
        <f t="shared" si="2"/>
        <v/>
      </c>
      <c r="G21" s="31"/>
      <c r="H21" s="32"/>
    </row>
    <row r="22" spans="1:9" ht="21" customHeight="1" x14ac:dyDescent="0.2">
      <c r="A22" s="18">
        <f t="shared" si="0"/>
        <v>46221</v>
      </c>
      <c r="B22" s="19">
        <f t="shared" si="1"/>
        <v>7</v>
      </c>
      <c r="C22" s="20"/>
      <c r="D22" s="21"/>
      <c r="E22" s="22"/>
      <c r="F22" s="23" t="str">
        <f t="shared" si="2"/>
        <v/>
      </c>
      <c r="G22" s="29"/>
      <c r="H22" s="30"/>
    </row>
    <row r="23" spans="1:9" ht="21" customHeight="1" x14ac:dyDescent="0.2">
      <c r="A23" s="18">
        <f t="shared" si="0"/>
        <v>46222</v>
      </c>
      <c r="B23" s="19">
        <f t="shared" si="1"/>
        <v>1</v>
      </c>
      <c r="C23" s="20"/>
      <c r="D23" s="21"/>
      <c r="E23" s="22"/>
      <c r="F23" s="23" t="str">
        <f t="shared" si="2"/>
        <v/>
      </c>
      <c r="G23" s="29"/>
      <c r="H23" s="30"/>
    </row>
    <row r="24" spans="1:9" ht="21" customHeight="1" x14ac:dyDescent="0.2">
      <c r="A24" s="18">
        <f t="shared" si="0"/>
        <v>46223</v>
      </c>
      <c r="B24" s="19">
        <f t="shared" si="1"/>
        <v>2</v>
      </c>
      <c r="C24" s="20"/>
      <c r="D24" s="21"/>
      <c r="E24" s="22"/>
      <c r="F24" s="23" t="str">
        <f t="shared" si="2"/>
        <v/>
      </c>
      <c r="G24" s="29" t="s">
        <v>23</v>
      </c>
      <c r="H24" s="30"/>
    </row>
    <row r="25" spans="1:9" ht="21" customHeight="1" x14ac:dyDescent="0.2">
      <c r="A25" s="12">
        <f t="shared" si="0"/>
        <v>46224</v>
      </c>
      <c r="B25" s="13">
        <f t="shared" si="1"/>
        <v>3</v>
      </c>
      <c r="C25" s="14"/>
      <c r="D25" s="15"/>
      <c r="E25" s="16"/>
      <c r="F25" s="17" t="str">
        <f t="shared" si="2"/>
        <v/>
      </c>
      <c r="G25" s="31"/>
      <c r="H25" s="32"/>
    </row>
    <row r="26" spans="1:9" ht="21" customHeight="1" x14ac:dyDescent="0.2">
      <c r="A26" s="12">
        <f t="shared" si="0"/>
        <v>46225</v>
      </c>
      <c r="B26" s="13">
        <f t="shared" si="1"/>
        <v>4</v>
      </c>
      <c r="C26" s="14"/>
      <c r="D26" s="15"/>
      <c r="E26" s="16"/>
      <c r="F26" s="17" t="str">
        <f t="shared" si="2"/>
        <v/>
      </c>
      <c r="G26" s="31"/>
      <c r="H26" s="32"/>
    </row>
    <row r="27" spans="1:9" ht="21" customHeight="1" x14ac:dyDescent="0.2">
      <c r="A27" s="12">
        <f t="shared" si="0"/>
        <v>46226</v>
      </c>
      <c r="B27" s="13">
        <f t="shared" si="1"/>
        <v>5</v>
      </c>
      <c r="C27" s="14"/>
      <c r="D27" s="15"/>
      <c r="E27" s="16"/>
      <c r="F27" s="17" t="str">
        <f t="shared" si="2"/>
        <v/>
      </c>
      <c r="G27" s="31"/>
      <c r="H27" s="32"/>
    </row>
    <row r="28" spans="1:9" ht="21" customHeight="1" x14ac:dyDescent="0.2">
      <c r="A28" s="12">
        <f t="shared" si="0"/>
        <v>46227</v>
      </c>
      <c r="B28" s="13">
        <f t="shared" si="1"/>
        <v>6</v>
      </c>
      <c r="C28" s="14"/>
      <c r="D28" s="15"/>
      <c r="E28" s="16"/>
      <c r="F28" s="17" t="str">
        <f t="shared" si="2"/>
        <v/>
      </c>
      <c r="G28" s="31"/>
      <c r="H28" s="32"/>
    </row>
    <row r="29" spans="1:9" ht="21" customHeight="1" x14ac:dyDescent="0.2">
      <c r="A29" s="18">
        <f t="shared" si="0"/>
        <v>46228</v>
      </c>
      <c r="B29" s="19">
        <f t="shared" si="1"/>
        <v>7</v>
      </c>
      <c r="C29" s="20"/>
      <c r="D29" s="21"/>
      <c r="E29" s="22"/>
      <c r="F29" s="23" t="str">
        <f t="shared" si="2"/>
        <v/>
      </c>
      <c r="G29" s="29"/>
      <c r="H29" s="30"/>
    </row>
    <row r="30" spans="1:9" ht="21" customHeight="1" x14ac:dyDescent="0.2">
      <c r="A30" s="18">
        <f t="shared" si="0"/>
        <v>46229</v>
      </c>
      <c r="B30" s="19">
        <f t="shared" si="1"/>
        <v>1</v>
      </c>
      <c r="C30" s="20"/>
      <c r="D30" s="21"/>
      <c r="E30" s="22"/>
      <c r="F30" s="23" t="str">
        <f t="shared" si="2"/>
        <v/>
      </c>
      <c r="G30" s="29"/>
      <c r="H30" s="30"/>
    </row>
    <row r="31" spans="1:9" ht="21" customHeight="1" x14ac:dyDescent="0.2">
      <c r="A31" s="12">
        <f t="shared" si="0"/>
        <v>46230</v>
      </c>
      <c r="B31" s="13">
        <f t="shared" si="1"/>
        <v>2</v>
      </c>
      <c r="C31" s="14"/>
      <c r="D31" s="15"/>
      <c r="E31" s="16"/>
      <c r="F31" s="17" t="str">
        <f t="shared" si="2"/>
        <v/>
      </c>
      <c r="G31" s="31"/>
      <c r="H31" s="32"/>
    </row>
    <row r="32" spans="1:9" ht="21" customHeight="1" x14ac:dyDescent="0.2">
      <c r="A32" s="12">
        <f t="shared" si="0"/>
        <v>46231</v>
      </c>
      <c r="B32" s="13">
        <f t="shared" si="1"/>
        <v>3</v>
      </c>
      <c r="C32" s="14"/>
      <c r="D32" s="15"/>
      <c r="E32" s="16"/>
      <c r="F32" s="17" t="str">
        <f t="shared" si="2"/>
        <v/>
      </c>
      <c r="G32" s="31"/>
      <c r="H32" s="32"/>
    </row>
    <row r="33" spans="1:8" ht="21" customHeight="1" x14ac:dyDescent="0.2">
      <c r="A33" s="12">
        <f t="shared" si="0"/>
        <v>46232</v>
      </c>
      <c r="B33" s="13">
        <f t="shared" si="1"/>
        <v>4</v>
      </c>
      <c r="C33" s="14"/>
      <c r="D33" s="15"/>
      <c r="E33" s="16"/>
      <c r="F33" s="17" t="str">
        <f t="shared" si="2"/>
        <v/>
      </c>
      <c r="G33" s="31"/>
      <c r="H33" s="32"/>
    </row>
    <row r="34" spans="1:8" ht="21" customHeight="1" x14ac:dyDescent="0.2">
      <c r="A34" s="12">
        <f>IF(MONTH(DATE(A$2,C$2,ROW()-4))=C$2,DATE(A$2,C$2,ROW()-4),"")</f>
        <v>46233</v>
      </c>
      <c r="B34" s="13">
        <f t="shared" si="1"/>
        <v>5</v>
      </c>
      <c r="C34" s="14"/>
      <c r="D34" s="15"/>
      <c r="E34" s="16"/>
      <c r="F34" s="17" t="str">
        <f t="shared" si="2"/>
        <v/>
      </c>
      <c r="G34" s="31"/>
      <c r="H34" s="32"/>
    </row>
    <row r="35" spans="1:8" ht="21" customHeight="1" x14ac:dyDescent="0.2">
      <c r="A35" s="12">
        <f>IF(MONTH(DATE(A$2,C$2,ROW()-4))=C$2,DATE(A$2,C$2,ROW()-4),"")</f>
        <v>46234</v>
      </c>
      <c r="B35" s="13">
        <f t="shared" si="1"/>
        <v>6</v>
      </c>
      <c r="C35" s="14"/>
      <c r="D35" s="15"/>
      <c r="E35" s="16"/>
      <c r="F35" s="17" t="str">
        <f t="shared" si="2"/>
        <v/>
      </c>
      <c r="G35" s="31"/>
      <c r="H35" s="32"/>
    </row>
    <row r="36" spans="1:8" ht="21" customHeight="1" x14ac:dyDescent="0.2">
      <c r="C36" s="5" t="s">
        <v>11</v>
      </c>
      <c r="D36" s="6">
        <f>COUNTA($D$5:$D$35)</f>
        <v>0</v>
      </c>
      <c r="E36" s="5" t="s">
        <v>12</v>
      </c>
      <c r="F36" s="7">
        <f>SUM($F$5:$F$35)</f>
        <v>0</v>
      </c>
      <c r="G36" s="24">
        <f>SUM($F$36,$E$39:$E$41)</f>
        <v>0</v>
      </c>
    </row>
    <row r="37" spans="1:8" ht="21" customHeight="1" x14ac:dyDescent="0.2">
      <c r="C37" s="8"/>
      <c r="D37" s="8"/>
      <c r="E37" s="9"/>
    </row>
    <row r="38" spans="1:8" ht="21" customHeight="1" x14ac:dyDescent="0.2">
      <c r="C38" s="8"/>
      <c r="D38" s="8"/>
      <c r="E38" s="10"/>
      <c r="F38" s="5" t="s">
        <v>13</v>
      </c>
      <c r="G38" s="5" t="s">
        <v>14</v>
      </c>
      <c r="H38" s="5" t="s">
        <v>15</v>
      </c>
    </row>
    <row r="39" spans="1:8" ht="21" customHeight="1" x14ac:dyDescent="0.2">
      <c r="C39" s="25"/>
      <c r="D39" s="8"/>
      <c r="E39" s="26"/>
      <c r="F39" s="33"/>
      <c r="G39" s="33"/>
      <c r="H39" s="33"/>
    </row>
    <row r="40" spans="1:8" ht="21" customHeight="1" x14ac:dyDescent="0.2">
      <c r="C40" s="8"/>
      <c r="D40" s="8"/>
      <c r="E40" s="26"/>
      <c r="F40" s="34"/>
      <c r="G40" s="34"/>
      <c r="H40" s="34"/>
    </row>
    <row r="41" spans="1:8" ht="21" customHeight="1" x14ac:dyDescent="0.2">
      <c r="C41" s="8"/>
      <c r="D41" s="8"/>
      <c r="E41" s="26"/>
      <c r="F41" s="35"/>
      <c r="G41" s="35"/>
      <c r="H41" s="35"/>
    </row>
  </sheetData>
  <mergeCells count="37">
    <mergeCell ref="G7:H7"/>
    <mergeCell ref="G1:H1"/>
    <mergeCell ref="G2:H2"/>
    <mergeCell ref="G4:H4"/>
    <mergeCell ref="G5:H5"/>
    <mergeCell ref="G6:H6"/>
    <mergeCell ref="G19:H19"/>
    <mergeCell ref="G8:H8"/>
    <mergeCell ref="G9:H9"/>
    <mergeCell ref="G10:H10"/>
    <mergeCell ref="G11:H11"/>
    <mergeCell ref="G12:H12"/>
    <mergeCell ref="G13:H13"/>
    <mergeCell ref="G14:H14"/>
    <mergeCell ref="G15:H15"/>
    <mergeCell ref="G16:H16"/>
    <mergeCell ref="G17:H17"/>
    <mergeCell ref="G18:H18"/>
    <mergeCell ref="G31:H31"/>
    <mergeCell ref="G20:H20"/>
    <mergeCell ref="G21:H21"/>
    <mergeCell ref="G22:H22"/>
    <mergeCell ref="G23:H23"/>
    <mergeCell ref="G24:H24"/>
    <mergeCell ref="G25:H25"/>
    <mergeCell ref="G26:H26"/>
    <mergeCell ref="G27:H27"/>
    <mergeCell ref="G28:H28"/>
    <mergeCell ref="G29:H29"/>
    <mergeCell ref="G30:H30"/>
    <mergeCell ref="G32:H32"/>
    <mergeCell ref="G33:H33"/>
    <mergeCell ref="G34:H34"/>
    <mergeCell ref="G35:H35"/>
    <mergeCell ref="F39:F41"/>
    <mergeCell ref="G39:G41"/>
    <mergeCell ref="H39:H41"/>
  </mergeCells>
  <phoneticPr fontId="1"/>
  <dataValidations count="1">
    <dataValidation imeMode="disabled" allowBlank="1" showInputMessage="1" showErrorMessage="1" sqref="C5:F35" xr:uid="{FA2C6E9D-44D9-4BAA-9279-EE3736AF40A0}"/>
  </dataValidations>
  <pageMargins left="0.59055118110236227" right="0.59055118110236227" top="1.1811023622047245" bottom="0.39370078740157483" header="0.78740157480314965" footer="0.39370078740157483"/>
  <pageSetup paperSize="9" scale="90" orientation="portrait" r:id="rId1"/>
  <headerFooter>
    <oddHeader>&amp;L&amp;"ＭＳ ゴシック,太字"&amp;20&amp;U稼働報告書</oddHeader>
    <oddFooter>&amp;R&amp;"ＭＳ ゴシック,標準"&amp;9株式会社　アイエスサービス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1">
    <pageSetUpPr fitToPage="1"/>
  </sheetPr>
  <dimension ref="A1:L41"/>
  <sheetViews>
    <sheetView view="pageBreakPreview" zoomScaleNormal="100" zoomScaleSheetLayoutView="100" workbookViewId="0">
      <pane ySplit="4" topLeftCell="A5" activePane="bottomLeft" state="frozen"/>
      <selection activeCell="G20" sqref="G20:H20"/>
      <selection pane="bottomLeft" activeCell="C3" sqref="C3"/>
    </sheetView>
  </sheetViews>
  <sheetFormatPr defaultColWidth="12.6640625" defaultRowHeight="21" customHeight="1" x14ac:dyDescent="0.2"/>
  <cols>
    <col min="1" max="16384" width="12.6640625" style="1"/>
  </cols>
  <sheetData>
    <row r="1" spans="1:12" ht="21" customHeight="1" x14ac:dyDescent="0.2">
      <c r="F1" s="2" t="s">
        <v>0</v>
      </c>
      <c r="G1" s="36" t="s">
        <v>16</v>
      </c>
      <c r="H1" s="36"/>
    </row>
    <row r="2" spans="1:12" ht="21" customHeight="1" x14ac:dyDescent="0.2">
      <c r="A2" s="11">
        <v>2026</v>
      </c>
      <c r="B2" s="2" t="s">
        <v>1</v>
      </c>
      <c r="C2" s="11">
        <v>7</v>
      </c>
      <c r="D2" s="2" t="s">
        <v>2</v>
      </c>
      <c r="F2" s="2" t="s">
        <v>3</v>
      </c>
      <c r="G2" s="36"/>
      <c r="H2" s="36"/>
      <c r="J2" s="1" t="s">
        <v>21</v>
      </c>
    </row>
    <row r="3" spans="1:12" ht="21" customHeight="1" x14ac:dyDescent="0.2">
      <c r="J3" s="1" t="s">
        <v>22</v>
      </c>
    </row>
    <row r="4" spans="1:12" ht="21" customHeight="1" x14ac:dyDescent="0.2">
      <c r="A4" s="2" t="s">
        <v>4</v>
      </c>
      <c r="B4" s="2" t="s">
        <v>5</v>
      </c>
      <c r="C4" s="3" t="s">
        <v>6</v>
      </c>
      <c r="D4" s="4" t="s">
        <v>7</v>
      </c>
      <c r="E4" s="2" t="s">
        <v>8</v>
      </c>
      <c r="F4" s="2" t="s">
        <v>9</v>
      </c>
      <c r="G4" s="37" t="s">
        <v>10</v>
      </c>
      <c r="H4" s="38"/>
    </row>
    <row r="5" spans="1:12" ht="21" customHeight="1" x14ac:dyDescent="0.2">
      <c r="A5" s="12">
        <f>IF(MONTH(DATE(A$2,C$2,ROW()-4))=C$2,DATE(A$2,C$2,ROW()-4),"")</f>
        <v>46204</v>
      </c>
      <c r="B5" s="13">
        <f>IF(A5="","",WEEKDAY(A5))</f>
        <v>4</v>
      </c>
      <c r="C5" s="14"/>
      <c r="D5" s="15"/>
      <c r="E5" s="16"/>
      <c r="F5" s="17" t="str">
        <f>IF(OR(C5="",D5=""),"",(D5-C5-E5)*24)</f>
        <v/>
      </c>
      <c r="G5" s="39"/>
      <c r="H5" s="40"/>
      <c r="J5"/>
      <c r="K5"/>
      <c r="L5"/>
    </row>
    <row r="6" spans="1:12" ht="21" customHeight="1" x14ac:dyDescent="0.2">
      <c r="A6" s="18">
        <f t="shared" ref="A6:A33" si="0">IF(MONTH(DATE(A$2,C$2,ROW()-4))=C$2,DATE(A$2,C$2,ROW()-4),"")</f>
        <v>46205</v>
      </c>
      <c r="B6" s="19">
        <f t="shared" ref="B6:B35" si="1">IF(A6="","",WEEKDAY(A6))</f>
        <v>5</v>
      </c>
      <c r="C6" s="20"/>
      <c r="D6" s="21"/>
      <c r="E6" s="22"/>
      <c r="F6" s="23" t="str">
        <f t="shared" ref="F6:F35" si="2">IF(OR(C6="",D6=""),"",(D6-C6-E6)*24)</f>
        <v/>
      </c>
      <c r="G6" s="29"/>
      <c r="H6" s="30"/>
      <c r="J6"/>
      <c r="K6"/>
      <c r="L6"/>
    </row>
    <row r="7" spans="1:12" ht="21" customHeight="1" x14ac:dyDescent="0.2">
      <c r="A7" s="18">
        <f t="shared" si="0"/>
        <v>46206</v>
      </c>
      <c r="B7" s="19">
        <f t="shared" si="1"/>
        <v>6</v>
      </c>
      <c r="C7" s="20"/>
      <c r="D7" s="21"/>
      <c r="E7" s="22"/>
      <c r="F7" s="23" t="str">
        <f t="shared" si="2"/>
        <v/>
      </c>
      <c r="G7" s="29" t="s">
        <v>17</v>
      </c>
      <c r="H7" s="30"/>
      <c r="J7"/>
      <c r="K7"/>
      <c r="L7"/>
    </row>
    <row r="8" spans="1:12" ht="21" customHeight="1" x14ac:dyDescent="0.2">
      <c r="A8" s="18">
        <f t="shared" si="0"/>
        <v>46207</v>
      </c>
      <c r="B8" s="19">
        <f t="shared" si="1"/>
        <v>7</v>
      </c>
      <c r="C8" s="20"/>
      <c r="D8" s="21"/>
      <c r="E8" s="22"/>
      <c r="F8" s="23" t="str">
        <f t="shared" si="2"/>
        <v/>
      </c>
      <c r="G8" s="29" t="s">
        <v>18</v>
      </c>
      <c r="H8" s="30"/>
      <c r="J8"/>
      <c r="K8" s="8"/>
      <c r="L8" s="28"/>
    </row>
    <row r="9" spans="1:12" ht="21" customHeight="1" x14ac:dyDescent="0.2">
      <c r="A9" s="18">
        <f t="shared" si="0"/>
        <v>46208</v>
      </c>
      <c r="B9" s="19">
        <f t="shared" si="1"/>
        <v>1</v>
      </c>
      <c r="C9" s="20"/>
      <c r="D9" s="21"/>
      <c r="E9" s="22"/>
      <c r="F9" s="23" t="str">
        <f t="shared" si="2"/>
        <v/>
      </c>
      <c r="G9" s="29" t="s">
        <v>19</v>
      </c>
      <c r="H9" s="30"/>
      <c r="J9"/>
      <c r="K9" s="8"/>
      <c r="L9" s="28"/>
    </row>
    <row r="10" spans="1:12" ht="21" customHeight="1" x14ac:dyDescent="0.2">
      <c r="A10" s="18">
        <f t="shared" si="0"/>
        <v>46209</v>
      </c>
      <c r="B10" s="19">
        <f t="shared" si="1"/>
        <v>2</v>
      </c>
      <c r="C10" s="20"/>
      <c r="D10" s="21"/>
      <c r="E10" s="22"/>
      <c r="F10" s="23" t="str">
        <f t="shared" si="2"/>
        <v/>
      </c>
      <c r="G10" s="29" t="s">
        <v>20</v>
      </c>
      <c r="H10" s="30"/>
      <c r="J10"/>
      <c r="K10" s="8"/>
      <c r="L10" s="28"/>
    </row>
    <row r="11" spans="1:12" ht="21" customHeight="1" x14ac:dyDescent="0.2">
      <c r="A11" s="12">
        <f t="shared" si="0"/>
        <v>46210</v>
      </c>
      <c r="B11" s="13">
        <f t="shared" si="1"/>
        <v>3</v>
      </c>
      <c r="C11" s="14"/>
      <c r="D11" s="15"/>
      <c r="E11" s="16"/>
      <c r="F11" s="17" t="str">
        <f t="shared" si="2"/>
        <v/>
      </c>
      <c r="G11" s="31"/>
      <c r="H11" s="32"/>
      <c r="J11"/>
      <c r="K11" s="8"/>
      <c r="L11" s="28"/>
    </row>
    <row r="12" spans="1:12" ht="21" customHeight="1" x14ac:dyDescent="0.2">
      <c r="A12" s="12">
        <f t="shared" si="0"/>
        <v>46211</v>
      </c>
      <c r="B12" s="13">
        <f t="shared" si="1"/>
        <v>4</v>
      </c>
      <c r="C12" s="14"/>
      <c r="D12" s="15"/>
      <c r="E12" s="16"/>
      <c r="F12" s="17" t="str">
        <f t="shared" si="2"/>
        <v/>
      </c>
      <c r="G12" s="31"/>
      <c r="H12" s="32"/>
      <c r="J12"/>
      <c r="K12" s="8"/>
      <c r="L12" s="28"/>
    </row>
    <row r="13" spans="1:12" ht="21" customHeight="1" x14ac:dyDescent="0.2">
      <c r="A13" s="18">
        <f t="shared" si="0"/>
        <v>46212</v>
      </c>
      <c r="B13" s="19">
        <f t="shared" si="1"/>
        <v>5</v>
      </c>
      <c r="C13" s="20"/>
      <c r="D13" s="21"/>
      <c r="E13" s="22"/>
      <c r="F13" s="23" t="str">
        <f t="shared" si="2"/>
        <v/>
      </c>
      <c r="G13" s="29"/>
      <c r="H13" s="30"/>
      <c r="J13"/>
      <c r="K13" s="8"/>
      <c r="L13" s="28"/>
    </row>
    <row r="14" spans="1:12" ht="21" customHeight="1" x14ac:dyDescent="0.2">
      <c r="A14" s="18">
        <f t="shared" si="0"/>
        <v>46213</v>
      </c>
      <c r="B14" s="19">
        <f t="shared" si="1"/>
        <v>6</v>
      </c>
      <c r="C14" s="20"/>
      <c r="D14" s="21"/>
      <c r="E14" s="22"/>
      <c r="F14" s="23" t="str">
        <f t="shared" si="2"/>
        <v/>
      </c>
      <c r="G14" s="29"/>
      <c r="H14" s="30"/>
      <c r="J14"/>
      <c r="K14" s="8"/>
      <c r="L14" s="28"/>
    </row>
    <row r="15" spans="1:12" ht="21" customHeight="1" x14ac:dyDescent="0.2">
      <c r="A15" s="12">
        <f t="shared" si="0"/>
        <v>46214</v>
      </c>
      <c r="B15" s="13">
        <f t="shared" si="1"/>
        <v>7</v>
      </c>
      <c r="C15" s="14"/>
      <c r="D15" s="15"/>
      <c r="E15" s="16"/>
      <c r="F15" s="17" t="str">
        <f t="shared" si="2"/>
        <v/>
      </c>
      <c r="G15" s="31"/>
      <c r="H15" s="32"/>
      <c r="K15" s="8"/>
      <c r="L15" s="28"/>
    </row>
    <row r="16" spans="1:12" ht="21" customHeight="1" x14ac:dyDescent="0.2">
      <c r="A16" s="12">
        <f t="shared" si="0"/>
        <v>46215</v>
      </c>
      <c r="B16" s="13">
        <f t="shared" si="1"/>
        <v>1</v>
      </c>
      <c r="C16" s="14"/>
      <c r="D16" s="15"/>
      <c r="E16" s="16"/>
      <c r="F16" s="17" t="str">
        <f t="shared" si="2"/>
        <v/>
      </c>
      <c r="G16" s="31"/>
      <c r="H16" s="32"/>
      <c r="K16" s="8"/>
      <c r="L16" s="28"/>
    </row>
    <row r="17" spans="1:12" ht="21" customHeight="1" x14ac:dyDescent="0.2">
      <c r="A17" s="12">
        <f t="shared" si="0"/>
        <v>46216</v>
      </c>
      <c r="B17" s="13">
        <f t="shared" si="1"/>
        <v>2</v>
      </c>
      <c r="C17" s="14"/>
      <c r="D17" s="15"/>
      <c r="E17" s="16"/>
      <c r="F17" s="17" t="str">
        <f t="shared" si="2"/>
        <v/>
      </c>
      <c r="G17" s="31"/>
      <c r="H17" s="32"/>
      <c r="K17" s="8"/>
      <c r="L17" s="28"/>
    </row>
    <row r="18" spans="1:12" ht="21" customHeight="1" x14ac:dyDescent="0.2">
      <c r="A18" s="12">
        <f t="shared" si="0"/>
        <v>46217</v>
      </c>
      <c r="B18" s="13">
        <f t="shared" si="1"/>
        <v>3</v>
      </c>
      <c r="C18" s="14"/>
      <c r="D18" s="15"/>
      <c r="E18" s="16"/>
      <c r="F18" s="17" t="str">
        <f t="shared" si="2"/>
        <v/>
      </c>
      <c r="G18" s="31"/>
      <c r="H18" s="32"/>
      <c r="J18" s="8"/>
      <c r="K18" s="8"/>
      <c r="L18" s="27"/>
    </row>
    <row r="19" spans="1:12" ht="21" customHeight="1" x14ac:dyDescent="0.2">
      <c r="A19" s="12">
        <f t="shared" si="0"/>
        <v>46218</v>
      </c>
      <c r="B19" s="13">
        <f t="shared" si="1"/>
        <v>4</v>
      </c>
      <c r="C19" s="14"/>
      <c r="D19" s="15"/>
      <c r="E19" s="16"/>
      <c r="F19" s="17" t="str">
        <f t="shared" si="2"/>
        <v/>
      </c>
      <c r="G19" s="31"/>
      <c r="H19" s="32"/>
    </row>
    <row r="20" spans="1:12" ht="21" customHeight="1" x14ac:dyDescent="0.2">
      <c r="A20" s="18">
        <f t="shared" si="0"/>
        <v>46219</v>
      </c>
      <c r="B20" s="19">
        <f t="shared" si="1"/>
        <v>5</v>
      </c>
      <c r="C20" s="20"/>
      <c r="D20" s="21"/>
      <c r="E20" s="22"/>
      <c r="F20" s="23" t="str">
        <f t="shared" si="2"/>
        <v/>
      </c>
      <c r="G20" s="29"/>
      <c r="H20" s="30"/>
    </row>
    <row r="21" spans="1:12" ht="21" customHeight="1" x14ac:dyDescent="0.2">
      <c r="A21" s="18">
        <f t="shared" si="0"/>
        <v>46220</v>
      </c>
      <c r="B21" s="19">
        <f t="shared" si="1"/>
        <v>6</v>
      </c>
      <c r="C21" s="20"/>
      <c r="D21" s="21"/>
      <c r="E21" s="22"/>
      <c r="F21" s="23" t="str">
        <f t="shared" si="2"/>
        <v/>
      </c>
      <c r="G21" s="29"/>
      <c r="H21" s="30"/>
    </row>
    <row r="22" spans="1:12" ht="21" customHeight="1" x14ac:dyDescent="0.2">
      <c r="A22" s="12">
        <f t="shared" si="0"/>
        <v>46221</v>
      </c>
      <c r="B22" s="13">
        <f t="shared" si="1"/>
        <v>7</v>
      </c>
      <c r="C22" s="14"/>
      <c r="D22" s="15"/>
      <c r="E22" s="16"/>
      <c r="F22" s="17" t="str">
        <f t="shared" si="2"/>
        <v/>
      </c>
      <c r="G22" s="31"/>
      <c r="H22" s="32"/>
    </row>
    <row r="23" spans="1:12" ht="21" customHeight="1" x14ac:dyDescent="0.2">
      <c r="A23" s="12">
        <f t="shared" si="0"/>
        <v>46222</v>
      </c>
      <c r="B23" s="13">
        <f t="shared" si="1"/>
        <v>1</v>
      </c>
      <c r="C23" s="14"/>
      <c r="D23" s="15"/>
      <c r="E23" s="16"/>
      <c r="F23" s="17" t="str">
        <f t="shared" si="2"/>
        <v/>
      </c>
      <c r="G23" s="31"/>
      <c r="H23" s="32"/>
    </row>
    <row r="24" spans="1:12" ht="21" customHeight="1" x14ac:dyDescent="0.2">
      <c r="A24" s="12">
        <f t="shared" si="0"/>
        <v>46223</v>
      </c>
      <c r="B24" s="13">
        <f t="shared" si="1"/>
        <v>2</v>
      </c>
      <c r="C24" s="14"/>
      <c r="D24" s="15"/>
      <c r="E24" s="16"/>
      <c r="F24" s="17" t="str">
        <f t="shared" si="2"/>
        <v/>
      </c>
      <c r="G24" s="31"/>
      <c r="H24" s="32"/>
    </row>
    <row r="25" spans="1:12" ht="21" customHeight="1" x14ac:dyDescent="0.2">
      <c r="A25" s="12">
        <f t="shared" si="0"/>
        <v>46224</v>
      </c>
      <c r="B25" s="13">
        <f t="shared" si="1"/>
        <v>3</v>
      </c>
      <c r="C25" s="14"/>
      <c r="D25" s="15"/>
      <c r="E25" s="16"/>
      <c r="F25" s="17" t="str">
        <f t="shared" si="2"/>
        <v/>
      </c>
      <c r="G25" s="31"/>
      <c r="H25" s="32"/>
    </row>
    <row r="26" spans="1:12" ht="21" customHeight="1" x14ac:dyDescent="0.2">
      <c r="A26" s="12">
        <f t="shared" si="0"/>
        <v>46225</v>
      </c>
      <c r="B26" s="13">
        <f t="shared" si="1"/>
        <v>4</v>
      </c>
      <c r="C26" s="14"/>
      <c r="D26" s="15"/>
      <c r="E26" s="16"/>
      <c r="F26" s="17" t="str">
        <f t="shared" si="2"/>
        <v/>
      </c>
      <c r="G26" s="31"/>
      <c r="H26" s="32"/>
    </row>
    <row r="27" spans="1:12" ht="21" customHeight="1" x14ac:dyDescent="0.2">
      <c r="A27" s="18">
        <f t="shared" si="0"/>
        <v>46226</v>
      </c>
      <c r="B27" s="19">
        <f t="shared" si="1"/>
        <v>5</v>
      </c>
      <c r="C27" s="20"/>
      <c r="D27" s="21"/>
      <c r="E27" s="22"/>
      <c r="F27" s="23" t="str">
        <f t="shared" si="2"/>
        <v/>
      </c>
      <c r="G27" s="29"/>
      <c r="H27" s="30"/>
    </row>
    <row r="28" spans="1:12" ht="21" customHeight="1" x14ac:dyDescent="0.2">
      <c r="A28" s="18">
        <f t="shared" si="0"/>
        <v>46227</v>
      </c>
      <c r="B28" s="19">
        <f t="shared" si="1"/>
        <v>6</v>
      </c>
      <c r="C28" s="20"/>
      <c r="D28" s="21"/>
      <c r="E28" s="22"/>
      <c r="F28" s="23" t="str">
        <f t="shared" si="2"/>
        <v/>
      </c>
      <c r="G28" s="29"/>
      <c r="H28" s="30"/>
    </row>
    <row r="29" spans="1:12" ht="21" customHeight="1" x14ac:dyDescent="0.2">
      <c r="A29" s="12">
        <f t="shared" si="0"/>
        <v>46228</v>
      </c>
      <c r="B29" s="13">
        <f t="shared" si="1"/>
        <v>7</v>
      </c>
      <c r="C29" s="14"/>
      <c r="D29" s="15"/>
      <c r="E29" s="16"/>
      <c r="F29" s="17" t="str">
        <f t="shared" si="2"/>
        <v/>
      </c>
      <c r="G29" s="31"/>
      <c r="H29" s="32"/>
    </row>
    <row r="30" spans="1:12" ht="21" customHeight="1" x14ac:dyDescent="0.2">
      <c r="A30" s="12">
        <f t="shared" si="0"/>
        <v>46229</v>
      </c>
      <c r="B30" s="13">
        <f t="shared" si="1"/>
        <v>1</v>
      </c>
      <c r="C30" s="14"/>
      <c r="D30" s="15"/>
      <c r="E30" s="16"/>
      <c r="F30" s="17" t="str">
        <f t="shared" si="2"/>
        <v/>
      </c>
      <c r="G30" s="31"/>
      <c r="H30" s="32"/>
    </row>
    <row r="31" spans="1:12" ht="21" customHeight="1" x14ac:dyDescent="0.2">
      <c r="A31" s="12">
        <f t="shared" si="0"/>
        <v>46230</v>
      </c>
      <c r="B31" s="13">
        <f t="shared" si="1"/>
        <v>2</v>
      </c>
      <c r="C31" s="14"/>
      <c r="D31" s="15"/>
      <c r="E31" s="16"/>
      <c r="F31" s="17" t="str">
        <f t="shared" si="2"/>
        <v/>
      </c>
      <c r="G31" s="31"/>
      <c r="H31" s="32"/>
    </row>
    <row r="32" spans="1:12" ht="21" customHeight="1" x14ac:dyDescent="0.2">
      <c r="A32" s="12">
        <f t="shared" si="0"/>
        <v>46231</v>
      </c>
      <c r="B32" s="13">
        <f t="shared" si="1"/>
        <v>3</v>
      </c>
      <c r="C32" s="14"/>
      <c r="D32" s="15"/>
      <c r="E32" s="16"/>
      <c r="F32" s="17" t="str">
        <f t="shared" si="2"/>
        <v/>
      </c>
      <c r="G32" s="31"/>
      <c r="H32" s="32"/>
    </row>
    <row r="33" spans="1:8" ht="21" customHeight="1" x14ac:dyDescent="0.2">
      <c r="A33" s="12">
        <f t="shared" si="0"/>
        <v>46232</v>
      </c>
      <c r="B33" s="13">
        <f t="shared" si="1"/>
        <v>4</v>
      </c>
      <c r="C33" s="14"/>
      <c r="D33" s="15"/>
      <c r="E33" s="16"/>
      <c r="F33" s="17" t="str">
        <f t="shared" si="2"/>
        <v/>
      </c>
      <c r="G33" s="31"/>
      <c r="H33" s="32"/>
    </row>
    <row r="34" spans="1:8" ht="21" customHeight="1" x14ac:dyDescent="0.2">
      <c r="A34" s="18">
        <f>IF(MONTH(DATE(A$2,C$2,ROW()-4))=C$2,DATE(A$2,C$2,ROW()-4),"")</f>
        <v>46233</v>
      </c>
      <c r="B34" s="19">
        <f t="shared" si="1"/>
        <v>5</v>
      </c>
      <c r="C34" s="20"/>
      <c r="D34" s="21"/>
      <c r="E34" s="22"/>
      <c r="F34" s="23" t="str">
        <f t="shared" si="2"/>
        <v/>
      </c>
      <c r="G34" s="29"/>
      <c r="H34" s="30"/>
    </row>
    <row r="35" spans="1:8" ht="21" customHeight="1" x14ac:dyDescent="0.2">
      <c r="A35" s="18">
        <f>IF(MONTH(DATE(A$2,C$2,ROW()-4))=C$2,DATE(A$2,C$2,ROW()-4),"")</f>
        <v>46234</v>
      </c>
      <c r="B35" s="19">
        <f t="shared" si="1"/>
        <v>6</v>
      </c>
      <c r="C35" s="20"/>
      <c r="D35" s="21"/>
      <c r="E35" s="22"/>
      <c r="F35" s="23" t="str">
        <f t="shared" si="2"/>
        <v/>
      </c>
      <c r="G35" s="29"/>
      <c r="H35" s="30"/>
    </row>
    <row r="36" spans="1:8" ht="21" customHeight="1" x14ac:dyDescent="0.2">
      <c r="C36" s="5" t="s">
        <v>11</v>
      </c>
      <c r="D36" s="6">
        <f>COUNTA($D$5:$D$35)</f>
        <v>0</v>
      </c>
      <c r="E36" s="5" t="s">
        <v>12</v>
      </c>
      <c r="F36" s="7">
        <f>SUM($F$5:$F$35)</f>
        <v>0</v>
      </c>
      <c r="G36" s="24">
        <f>SUM($F$36,$E$39:$E$41)</f>
        <v>0</v>
      </c>
    </row>
    <row r="37" spans="1:8" ht="21" customHeight="1" x14ac:dyDescent="0.2">
      <c r="C37" s="8"/>
      <c r="D37" s="8"/>
      <c r="E37" s="9"/>
    </row>
    <row r="38" spans="1:8" ht="21" customHeight="1" x14ac:dyDescent="0.2">
      <c r="C38" s="8"/>
      <c r="D38" s="8"/>
      <c r="E38" s="10"/>
      <c r="F38" s="5" t="s">
        <v>13</v>
      </c>
      <c r="G38" s="5" t="s">
        <v>14</v>
      </c>
      <c r="H38" s="5" t="s">
        <v>15</v>
      </c>
    </row>
    <row r="39" spans="1:8" ht="21" customHeight="1" x14ac:dyDescent="0.2">
      <c r="C39" s="25"/>
      <c r="D39" s="8"/>
      <c r="E39" s="26"/>
      <c r="F39" s="33"/>
      <c r="G39" s="33"/>
      <c r="H39" s="33"/>
    </row>
    <row r="40" spans="1:8" ht="21" customHeight="1" x14ac:dyDescent="0.2">
      <c r="C40" s="8"/>
      <c r="D40" s="8"/>
      <c r="E40" s="26"/>
      <c r="F40" s="34"/>
      <c r="G40" s="34"/>
      <c r="H40" s="34"/>
    </row>
    <row r="41" spans="1:8" ht="21" customHeight="1" x14ac:dyDescent="0.2">
      <c r="C41" s="8"/>
      <c r="D41" s="8"/>
      <c r="E41" s="26"/>
      <c r="F41" s="35"/>
      <c r="G41" s="35"/>
      <c r="H41" s="35"/>
    </row>
  </sheetData>
  <mergeCells count="37">
    <mergeCell ref="G32:H32"/>
    <mergeCell ref="G33:H33"/>
    <mergeCell ref="G34:H34"/>
    <mergeCell ref="G35:H35"/>
    <mergeCell ref="F39:F41"/>
    <mergeCell ref="G39:G41"/>
    <mergeCell ref="H39:H41"/>
    <mergeCell ref="G31:H31"/>
    <mergeCell ref="G20:H20"/>
    <mergeCell ref="G21:H21"/>
    <mergeCell ref="G22:H22"/>
    <mergeCell ref="G23:H23"/>
    <mergeCell ref="G24:H24"/>
    <mergeCell ref="G25:H25"/>
    <mergeCell ref="G26:H26"/>
    <mergeCell ref="G27:H27"/>
    <mergeCell ref="G28:H28"/>
    <mergeCell ref="G29:H29"/>
    <mergeCell ref="G30:H30"/>
    <mergeCell ref="G19:H19"/>
    <mergeCell ref="G8:H8"/>
    <mergeCell ref="G9:H9"/>
    <mergeCell ref="G10:H10"/>
    <mergeCell ref="G11:H11"/>
    <mergeCell ref="G12:H12"/>
    <mergeCell ref="G13:H13"/>
    <mergeCell ref="G14:H14"/>
    <mergeCell ref="G15:H15"/>
    <mergeCell ref="G16:H16"/>
    <mergeCell ref="G17:H17"/>
    <mergeCell ref="G18:H18"/>
    <mergeCell ref="G7:H7"/>
    <mergeCell ref="G1:H1"/>
    <mergeCell ref="G2:H2"/>
    <mergeCell ref="G4:H4"/>
    <mergeCell ref="G5:H5"/>
    <mergeCell ref="G6:H6"/>
  </mergeCells>
  <phoneticPr fontId="1"/>
  <dataValidations count="1">
    <dataValidation imeMode="disabled" allowBlank="1" showInputMessage="1" showErrorMessage="1" sqref="C5:F35" xr:uid="{00000000-0002-0000-0100-000000000000}"/>
  </dataValidations>
  <pageMargins left="0.59055118110236227" right="0.59055118110236227" top="1.1811023622047245" bottom="0.39370078740157483" header="0.78740157480314965" footer="0.39370078740157483"/>
  <pageSetup paperSize="9" scale="90" orientation="portrait" r:id="rId1"/>
  <headerFooter>
    <oddHeader>&amp;L&amp;"ＭＳ ゴシック,太字"&amp;20&amp;U稼働報告書</oddHeader>
    <oddFooter>&amp;R&amp;"ＭＳ ゴシック,標準"&amp;9株式会社　アイエスサービス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202606</vt:lpstr>
      <vt:lpstr>202607</vt:lpstr>
      <vt:lpstr>ひな型</vt:lpstr>
      <vt:lpstr>'202606'!Print_Area</vt:lpstr>
      <vt:lpstr>'202607'!Print_Area</vt:lpstr>
      <vt:lpstr>ひな型!Print_Area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一條 政敏</dc:creator>
  <cp:lastModifiedBy>USER ISS</cp:lastModifiedBy>
  <cp:lastPrinted>2024-03-29T02:53:50Z</cp:lastPrinted>
  <dcterms:created xsi:type="dcterms:W3CDTF">2019-03-15T10:35:07Z</dcterms:created>
  <dcterms:modified xsi:type="dcterms:W3CDTF">2026-06-18T08:32:54Z</dcterms:modified>
</cp:coreProperties>
</file>